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are\szkola26-27\INFORMATYKA\EXCEL\Wyszukiwanie\"/>
    </mc:Choice>
  </mc:AlternateContent>
  <xr:revisionPtr revIDLastSave="0" documentId="13_ncr:1_{073B22C9-D34B-4450-9667-703BE3D3C479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Stawki" sheetId="1" r:id="rId1"/>
    <sheet name="Stawki (2)" sheetId="2" r:id="rId2"/>
    <sheet name="Stawki (3)" sheetId="7" r:id="rId3"/>
    <sheet name="sprzedaz" sheetId="3" r:id="rId4"/>
    <sheet name="wyszukaj" sheetId="5" r:id="rId5"/>
    <sheet name="dane" sheetId="4" r:id="rId6"/>
    <sheet name="blokuj" sheetId="6" r:id="rId7"/>
  </sheets>
  <definedNames>
    <definedName name="stawki">'Stawki (2)'!$N$3:$P$5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1" i="2" l="1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K2" i="1"/>
  <c r="J2" i="1"/>
  <c r="L2" i="1" s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3" i="7"/>
  <c r="E4" i="7"/>
  <c r="E5" i="7"/>
  <c r="E6" i="7"/>
  <c r="E7" i="7"/>
  <c r="E2" i="7"/>
  <c r="L6" i="6"/>
  <c r="L10" i="6"/>
  <c r="L14" i="6"/>
  <c r="L18" i="6"/>
  <c r="L22" i="6"/>
  <c r="L26" i="6"/>
  <c r="L30" i="6"/>
  <c r="J3" i="6"/>
  <c r="L3" i="6" s="1"/>
  <c r="K3" i="6"/>
  <c r="J4" i="6"/>
  <c r="L4" i="6" s="1"/>
  <c r="K4" i="6"/>
  <c r="J5" i="6"/>
  <c r="L5" i="6" s="1"/>
  <c r="K5" i="6"/>
  <c r="J6" i="6"/>
  <c r="K6" i="6"/>
  <c r="J7" i="6"/>
  <c r="L7" i="6" s="1"/>
  <c r="K7" i="6"/>
  <c r="J8" i="6"/>
  <c r="K8" i="6"/>
  <c r="L8" i="6" s="1"/>
  <c r="J9" i="6"/>
  <c r="L9" i="6" s="1"/>
  <c r="K9" i="6"/>
  <c r="J10" i="6"/>
  <c r="K10" i="6"/>
  <c r="J11" i="6"/>
  <c r="L11" i="6" s="1"/>
  <c r="K11" i="6"/>
  <c r="J12" i="6"/>
  <c r="K12" i="6"/>
  <c r="L12" i="6" s="1"/>
  <c r="J13" i="6"/>
  <c r="L13" i="6" s="1"/>
  <c r="K13" i="6"/>
  <c r="J14" i="6"/>
  <c r="K14" i="6"/>
  <c r="J15" i="6"/>
  <c r="L15" i="6" s="1"/>
  <c r="K15" i="6"/>
  <c r="J16" i="6"/>
  <c r="K16" i="6"/>
  <c r="L16" i="6" s="1"/>
  <c r="J17" i="6"/>
  <c r="L17" i="6" s="1"/>
  <c r="K17" i="6"/>
  <c r="J18" i="6"/>
  <c r="K18" i="6"/>
  <c r="J19" i="6"/>
  <c r="L19" i="6" s="1"/>
  <c r="K19" i="6"/>
  <c r="J20" i="6"/>
  <c r="K20" i="6"/>
  <c r="L20" i="6" s="1"/>
  <c r="J21" i="6"/>
  <c r="L21" i="6" s="1"/>
  <c r="K21" i="6"/>
  <c r="J22" i="6"/>
  <c r="K22" i="6"/>
  <c r="J23" i="6"/>
  <c r="L23" i="6" s="1"/>
  <c r="K23" i="6"/>
  <c r="J24" i="6"/>
  <c r="K24" i="6"/>
  <c r="L24" i="6" s="1"/>
  <c r="J25" i="6"/>
  <c r="L25" i="6" s="1"/>
  <c r="K25" i="6"/>
  <c r="J26" i="6"/>
  <c r="K26" i="6"/>
  <c r="J27" i="6"/>
  <c r="L27" i="6" s="1"/>
  <c r="K27" i="6"/>
  <c r="J28" i="6"/>
  <c r="K28" i="6"/>
  <c r="L28" i="6" s="1"/>
  <c r="J29" i="6"/>
  <c r="L29" i="6" s="1"/>
  <c r="K29" i="6"/>
  <c r="J30" i="6"/>
  <c r="K30" i="6"/>
  <c r="J31" i="6"/>
  <c r="L31" i="6" s="1"/>
  <c r="K31" i="6"/>
  <c r="K2" i="6"/>
  <c r="J2" i="6"/>
  <c r="L2" i="6" s="1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2" i="6"/>
  <c r="E3" i="4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2" i="4"/>
</calcChain>
</file>

<file path=xl/sharedStrings.xml><?xml version="1.0" encoding="utf-8"?>
<sst xmlns="http://schemas.openxmlformats.org/spreadsheetml/2006/main" count="866" uniqueCount="371">
  <si>
    <t>Przychodnia</t>
  </si>
  <si>
    <t>Specjalność</t>
  </si>
  <si>
    <t>Nazwisko lekarza</t>
  </si>
  <si>
    <t>Stopień nauk.</t>
  </si>
  <si>
    <t>Liczba pacjentów na godz.</t>
  </si>
  <si>
    <t>Liczba pacjentów</t>
  </si>
  <si>
    <t>Koszty gabinetu na godz.</t>
  </si>
  <si>
    <t>Koszty admini- stracji</t>
  </si>
  <si>
    <t>Przychód</t>
  </si>
  <si>
    <t>Koszty</t>
  </si>
  <si>
    <t>Zarobek brutto</t>
  </si>
  <si>
    <t>Eskulap</t>
  </si>
  <si>
    <t>ortopeda</t>
  </si>
  <si>
    <t>Adamek Leon</t>
  </si>
  <si>
    <t>dr</t>
  </si>
  <si>
    <t>lekarz</t>
  </si>
  <si>
    <t>prof.</t>
  </si>
  <si>
    <t>Medicus</t>
  </si>
  <si>
    <t>chirurg</t>
  </si>
  <si>
    <t>Borowska Maria</t>
  </si>
  <si>
    <t>endokrynolog</t>
  </si>
  <si>
    <t>Bugaj  Jerzy</t>
  </si>
  <si>
    <t>Zdrowie</t>
  </si>
  <si>
    <t>laryngolog</t>
  </si>
  <si>
    <t>Dolega Ewa</t>
  </si>
  <si>
    <t>neurolog</t>
  </si>
  <si>
    <t>Filler Marian</t>
  </si>
  <si>
    <t>Jackowski Marek</t>
  </si>
  <si>
    <t>Jaworski Jan</t>
  </si>
  <si>
    <t>gastrolog</t>
  </si>
  <si>
    <t>Karolak Adam</t>
  </si>
  <si>
    <t>internista</t>
  </si>
  <si>
    <t>Kostrzewa Jan</t>
  </si>
  <si>
    <t>Miszak Andrzej</t>
  </si>
  <si>
    <t>kardiolog</t>
  </si>
  <si>
    <t>Piotrowski Jacek</t>
  </si>
  <si>
    <t>Rychter Wojciech</t>
  </si>
  <si>
    <t>ginekolog</t>
  </si>
  <si>
    <t>Sosińki Michał</t>
  </si>
  <si>
    <t>Sowińska Iwona</t>
  </si>
  <si>
    <t>Twarowska Irena</t>
  </si>
  <si>
    <t>Wolska Beata</t>
  </si>
  <si>
    <t>reumatolog</t>
  </si>
  <si>
    <t>Woźniak Karol</t>
  </si>
  <si>
    <t>Zubar Grzegorz</t>
  </si>
  <si>
    <t>Stawki</t>
  </si>
  <si>
    <t>stare</t>
  </si>
  <si>
    <t>nowe</t>
  </si>
  <si>
    <t>Stawka za wizytę (nowa)</t>
  </si>
  <si>
    <t>Nazwa produktu</t>
  </si>
  <si>
    <t>Ilość</t>
  </si>
  <si>
    <t>Cena w Euro</t>
  </si>
  <si>
    <t>Wartość sprzedaży w zł</t>
  </si>
  <si>
    <t>Kurs Euro</t>
  </si>
  <si>
    <t>Produkt1</t>
  </si>
  <si>
    <t>Produkt2</t>
  </si>
  <si>
    <t>Razem</t>
  </si>
  <si>
    <t>-</t>
  </si>
  <si>
    <t>Nazwisko</t>
  </si>
  <si>
    <t>Imię</t>
  </si>
  <si>
    <t>Miejscowość</t>
  </si>
  <si>
    <t>Telefon</t>
  </si>
  <si>
    <t>Kijowska</t>
  </si>
  <si>
    <t>Katarzyna</t>
  </si>
  <si>
    <t>Łódź</t>
  </si>
  <si>
    <t>+48615273705</t>
  </si>
  <si>
    <t>Durzyński</t>
  </si>
  <si>
    <t>Łukasz</t>
  </si>
  <si>
    <t>Sochaczew</t>
  </si>
  <si>
    <t>+48500563767</t>
  </si>
  <si>
    <t>Lisz</t>
  </si>
  <si>
    <t>Granice</t>
  </si>
  <si>
    <t>+48619422921</t>
  </si>
  <si>
    <t>Szwarc</t>
  </si>
  <si>
    <t>+48611483139</t>
  </si>
  <si>
    <t>Nawrocka</t>
  </si>
  <si>
    <t>Małgorzata</t>
  </si>
  <si>
    <t>Bełchów</t>
  </si>
  <si>
    <t>+48617424263</t>
  </si>
  <si>
    <t>Stefanowski</t>
  </si>
  <si>
    <t>Franciszek</t>
  </si>
  <si>
    <t>Budy Iłowskie</t>
  </si>
  <si>
    <t>+48601767301</t>
  </si>
  <si>
    <t>Budner</t>
  </si>
  <si>
    <t>Jacek</t>
  </si>
  <si>
    <t>+48503881908</t>
  </si>
  <si>
    <t>Skiba</t>
  </si>
  <si>
    <t>Ewa</t>
  </si>
  <si>
    <t>Seroki Wieś</t>
  </si>
  <si>
    <t>+48787930849</t>
  </si>
  <si>
    <t>Adamczyk</t>
  </si>
  <si>
    <t>Marta</t>
  </si>
  <si>
    <t>Pasikonie</t>
  </si>
  <si>
    <t>+48606471147</t>
  </si>
  <si>
    <t>Piesek</t>
  </si>
  <si>
    <t>Marcin</t>
  </si>
  <si>
    <t>Wilcze Śladowskie</t>
  </si>
  <si>
    <t>+48504622898</t>
  </si>
  <si>
    <t>Jaroń</t>
  </si>
  <si>
    <t>Rafał</t>
  </si>
  <si>
    <t>Bolimów</t>
  </si>
  <si>
    <t>+48615823430</t>
  </si>
  <si>
    <t>Wolska</t>
  </si>
  <si>
    <t>Edyta</t>
  </si>
  <si>
    <t>+48788589227</t>
  </si>
  <si>
    <t>Panek</t>
  </si>
  <si>
    <t>Renata</t>
  </si>
  <si>
    <t>+48601312331</t>
  </si>
  <si>
    <t>Dziergowska</t>
  </si>
  <si>
    <t>Dorota</t>
  </si>
  <si>
    <t>Guzów</t>
  </si>
  <si>
    <t>+48601515744</t>
  </si>
  <si>
    <t>Sobota</t>
  </si>
  <si>
    <t>+48607632030</t>
  </si>
  <si>
    <t>Gadzińska</t>
  </si>
  <si>
    <t>Magdalena</t>
  </si>
  <si>
    <t>+48615942569</t>
  </si>
  <si>
    <t>Feliga-Ampt</t>
  </si>
  <si>
    <t>Barbara</t>
  </si>
  <si>
    <t>Iłów</t>
  </si>
  <si>
    <t>+48619618613</t>
  </si>
  <si>
    <t>Kotowski</t>
  </si>
  <si>
    <t>Mariusz</t>
  </si>
  <si>
    <t>+48614207747</t>
  </si>
  <si>
    <t>Wróblewska</t>
  </si>
  <si>
    <t>Aneta</t>
  </si>
  <si>
    <t>Braki</t>
  </si>
  <si>
    <t>+48619283598</t>
  </si>
  <si>
    <t>Tręboszka</t>
  </si>
  <si>
    <t>Jarosław</t>
  </si>
  <si>
    <t>Helenka</t>
  </si>
  <si>
    <t>+48612865799</t>
  </si>
  <si>
    <t>Rączka</t>
  </si>
  <si>
    <t>Artur</t>
  </si>
  <si>
    <t>Rybno</t>
  </si>
  <si>
    <t>+48507634808</t>
  </si>
  <si>
    <t>Szymańska</t>
  </si>
  <si>
    <t>Wioletta</t>
  </si>
  <si>
    <t>Janówek Duranowski</t>
  </si>
  <si>
    <t>+48502398917</t>
  </si>
  <si>
    <t>Ściechurska</t>
  </si>
  <si>
    <t>+48610652725</t>
  </si>
  <si>
    <t>Błazik</t>
  </si>
  <si>
    <t>Sławomir</t>
  </si>
  <si>
    <t>+48608431260</t>
  </si>
  <si>
    <t>Fabijańczyk</t>
  </si>
  <si>
    <t>Darlena</t>
  </si>
  <si>
    <t>+48603185529</t>
  </si>
  <si>
    <t>Zając</t>
  </si>
  <si>
    <t>Piotr</t>
  </si>
  <si>
    <t>Szarglew</t>
  </si>
  <si>
    <t>+48500838504</t>
  </si>
  <si>
    <t>Goryniak</t>
  </si>
  <si>
    <t>Dariusz</t>
  </si>
  <si>
    <t>Żyrardów</t>
  </si>
  <si>
    <t>+48614942593</t>
  </si>
  <si>
    <t>Pływaczewska</t>
  </si>
  <si>
    <t>+48603505168</t>
  </si>
  <si>
    <t>Siemińska</t>
  </si>
  <si>
    <t>+48500841014</t>
  </si>
  <si>
    <t>Uszyńska</t>
  </si>
  <si>
    <t>+48605933614</t>
  </si>
  <si>
    <t>Pałyska</t>
  </si>
  <si>
    <t>Monika</t>
  </si>
  <si>
    <t>+48610411932</t>
  </si>
  <si>
    <t>Filipiak</t>
  </si>
  <si>
    <t>+48505652265</t>
  </si>
  <si>
    <t xml:space="preserve">Izak </t>
  </si>
  <si>
    <t>Agnieszka</t>
  </si>
  <si>
    <t>Chrząszczewek</t>
  </si>
  <si>
    <t>+48502684898</t>
  </si>
  <si>
    <t>Bartoszewska</t>
  </si>
  <si>
    <t>Lubiejew</t>
  </si>
  <si>
    <t>+48604492759</t>
  </si>
  <si>
    <t>Szczęsna</t>
  </si>
  <si>
    <t>Joanna</t>
  </si>
  <si>
    <t>+48506241920</t>
  </si>
  <si>
    <t>Turkowski</t>
  </si>
  <si>
    <t>Radosław</t>
  </si>
  <si>
    <t>Żuków</t>
  </si>
  <si>
    <t>+48604105887</t>
  </si>
  <si>
    <t>Krawczyk</t>
  </si>
  <si>
    <t>Paweł</t>
  </si>
  <si>
    <t>Młodzieszyn</t>
  </si>
  <si>
    <t>+48616972260</t>
  </si>
  <si>
    <t>Wasilewski</t>
  </si>
  <si>
    <t>Sylwester</t>
  </si>
  <si>
    <t>Kaski Budki</t>
  </si>
  <si>
    <t>+48602749113</t>
  </si>
  <si>
    <t>Maliszewska</t>
  </si>
  <si>
    <t>Justyna</t>
  </si>
  <si>
    <t>+48605757043</t>
  </si>
  <si>
    <t>Franaszek</t>
  </si>
  <si>
    <t>Halina</t>
  </si>
  <si>
    <t>+48607464938</t>
  </si>
  <si>
    <t>Urbaniak</t>
  </si>
  <si>
    <t>Przęsławice</t>
  </si>
  <si>
    <t>+48509874884</t>
  </si>
  <si>
    <t xml:space="preserve">Misiak </t>
  </si>
  <si>
    <t>Mysłaków</t>
  </si>
  <si>
    <t>+48603188109</t>
  </si>
  <si>
    <t>Talarowska</t>
  </si>
  <si>
    <t>Marlena</t>
  </si>
  <si>
    <t>+48500502903</t>
  </si>
  <si>
    <t>Kopeć</t>
  </si>
  <si>
    <t>Władysławów</t>
  </si>
  <si>
    <t>+48602999335</t>
  </si>
  <si>
    <t>Wójcicka</t>
  </si>
  <si>
    <t>Hanna</t>
  </si>
  <si>
    <t>Sade Budy</t>
  </si>
  <si>
    <t>+48602345857</t>
  </si>
  <si>
    <t>Stasiak</t>
  </si>
  <si>
    <t>Emil</t>
  </si>
  <si>
    <t>Brzeziny</t>
  </si>
  <si>
    <t>+48610840617</t>
  </si>
  <si>
    <t>Kitajewski</t>
  </si>
  <si>
    <t>Szczepan</t>
  </si>
  <si>
    <t>Skierniewice</t>
  </si>
  <si>
    <t>+48506296192</t>
  </si>
  <si>
    <t>Klimczak</t>
  </si>
  <si>
    <t>Tomasz</t>
  </si>
  <si>
    <t>Grabowiec</t>
  </si>
  <si>
    <t>+48787261150</t>
  </si>
  <si>
    <t>Rejniak</t>
  </si>
  <si>
    <t>Arkadiusz</t>
  </si>
  <si>
    <t>Białuty</t>
  </si>
  <si>
    <t>+48618597568</t>
  </si>
  <si>
    <t>Gostyński</t>
  </si>
  <si>
    <t>+48605291862</t>
  </si>
  <si>
    <t>Jaworska</t>
  </si>
  <si>
    <t>Karolina</t>
  </si>
  <si>
    <t>Dobrzyków</t>
  </si>
  <si>
    <t>+48604771229</t>
  </si>
  <si>
    <t>Jabłoński</t>
  </si>
  <si>
    <t>Daniel</t>
  </si>
  <si>
    <t>+48787820472</t>
  </si>
  <si>
    <t>Pasińska</t>
  </si>
  <si>
    <t>Tomaszew</t>
  </si>
  <si>
    <t>+48616679168</t>
  </si>
  <si>
    <t>Stempniak</t>
  </si>
  <si>
    <t>+48608286368</t>
  </si>
  <si>
    <t>Bednarski</t>
  </si>
  <si>
    <t>+48611538023</t>
  </si>
  <si>
    <t>Czapigo</t>
  </si>
  <si>
    <t>Mariola</t>
  </si>
  <si>
    <t>+48507951881</t>
  </si>
  <si>
    <t>Szymański</t>
  </si>
  <si>
    <t>Wieś</t>
  </si>
  <si>
    <t>+48611896013</t>
  </si>
  <si>
    <t>Bobrowniki</t>
  </si>
  <si>
    <t>+48608296363</t>
  </si>
  <si>
    <t>Białkowski</t>
  </si>
  <si>
    <t>Piastów</t>
  </si>
  <si>
    <t>+48787116120</t>
  </si>
  <si>
    <t>Pakuła</t>
  </si>
  <si>
    <t>Załusków</t>
  </si>
  <si>
    <t>+48606380003</t>
  </si>
  <si>
    <t>Łukasik</t>
  </si>
  <si>
    <t>Aleksandrów</t>
  </si>
  <si>
    <t>+48616565463</t>
  </si>
  <si>
    <t>Selerski</t>
  </si>
  <si>
    <t>+48504826519</t>
  </si>
  <si>
    <t>Jażdżyk</t>
  </si>
  <si>
    <t>Dominik</t>
  </si>
  <si>
    <t>Giżyczki</t>
  </si>
  <si>
    <t>+48608511636</t>
  </si>
  <si>
    <t>Burno</t>
  </si>
  <si>
    <t>Adam</t>
  </si>
  <si>
    <t>Kuznocin</t>
  </si>
  <si>
    <t>+48507269483</t>
  </si>
  <si>
    <t>Przybyłowski</t>
  </si>
  <si>
    <t>Ireneusz</t>
  </si>
  <si>
    <t>+48604895862</t>
  </si>
  <si>
    <t>Kaczmarczyk</t>
  </si>
  <si>
    <t>Kołaki Budzyno</t>
  </si>
  <si>
    <t>+48612122842</t>
  </si>
  <si>
    <t>Gałuszewski</t>
  </si>
  <si>
    <t>Wojciech</t>
  </si>
  <si>
    <t>+48501875571</t>
  </si>
  <si>
    <t>Jaskulski</t>
  </si>
  <si>
    <t>Nikodem</t>
  </si>
  <si>
    <t>+48608517035</t>
  </si>
  <si>
    <t>Klocek</t>
  </si>
  <si>
    <t>Krzysztof</t>
  </si>
  <si>
    <t>+48507696798</t>
  </si>
  <si>
    <t>Olenderek</t>
  </si>
  <si>
    <t>Przemysław</t>
  </si>
  <si>
    <t>Łasice</t>
  </si>
  <si>
    <t>+48603723631</t>
  </si>
  <si>
    <t>Kulis</t>
  </si>
  <si>
    <t>Andrzej</t>
  </si>
  <si>
    <t>Kozłów Biskupi</t>
  </si>
  <si>
    <t>+48508901021</t>
  </si>
  <si>
    <t>Misztal</t>
  </si>
  <si>
    <t>Michał</t>
  </si>
  <si>
    <t>+48507114162</t>
  </si>
  <si>
    <t>Wachowska</t>
  </si>
  <si>
    <t>+48606553746</t>
  </si>
  <si>
    <t>Cywiński</t>
  </si>
  <si>
    <t>Cypriany</t>
  </si>
  <si>
    <t>+48505264391</t>
  </si>
  <si>
    <t>Denisiewicz</t>
  </si>
  <si>
    <t>+48504352299</t>
  </si>
  <si>
    <t>Lepieszka</t>
  </si>
  <si>
    <t>+48606692300</t>
  </si>
  <si>
    <t>Kisiołek</t>
  </si>
  <si>
    <t>Bogdan</t>
  </si>
  <si>
    <t>Kolonia Kożuszki</t>
  </si>
  <si>
    <t>+48605253747</t>
  </si>
  <si>
    <t>Chojecka</t>
  </si>
  <si>
    <t>Tułowice</t>
  </si>
  <si>
    <t>+48504455171</t>
  </si>
  <si>
    <t>Okoński</t>
  </si>
  <si>
    <t>+48505855183</t>
  </si>
  <si>
    <t>Ignasiak</t>
  </si>
  <si>
    <t>+48610430501</t>
  </si>
  <si>
    <t>Ganczarski</t>
  </si>
  <si>
    <t>Brzozów</t>
  </si>
  <si>
    <t>+48504378581</t>
  </si>
  <si>
    <t>Zatorska</t>
  </si>
  <si>
    <t>+48603705239</t>
  </si>
  <si>
    <t>Flakowski</t>
  </si>
  <si>
    <t>Rodowo</t>
  </si>
  <si>
    <t>+48507405517</t>
  </si>
  <si>
    <t>Tomala</t>
  </si>
  <si>
    <t>+48788908484</t>
  </si>
  <si>
    <t>Mikołajczyk</t>
  </si>
  <si>
    <t>Pawłowice</t>
  </si>
  <si>
    <t>+48507922598</t>
  </si>
  <si>
    <t>Rutkowski</t>
  </si>
  <si>
    <t>+48788652862</t>
  </si>
  <si>
    <t>Majcher</t>
  </si>
  <si>
    <t>+48609702017</t>
  </si>
  <si>
    <t>Wiśniewski</t>
  </si>
  <si>
    <t>+48500669947</t>
  </si>
  <si>
    <t>Wysocka</t>
  </si>
  <si>
    <t>Wiesława</t>
  </si>
  <si>
    <t>Malanowo</t>
  </si>
  <si>
    <t>+48609285283</t>
  </si>
  <si>
    <t>Kubik</t>
  </si>
  <si>
    <t>Mikołajew</t>
  </si>
  <si>
    <t>+48613492255</t>
  </si>
  <si>
    <t>Ciechomski</t>
  </si>
  <si>
    <t>+48610109107</t>
  </si>
  <si>
    <t>Zawadzka</t>
  </si>
  <si>
    <t>Ilona</t>
  </si>
  <si>
    <t>Nowy Kozłów II</t>
  </si>
  <si>
    <t>+48506842301</t>
  </si>
  <si>
    <t>Wigier</t>
  </si>
  <si>
    <t>+48507962776</t>
  </si>
  <si>
    <t>Wosik</t>
  </si>
  <si>
    <t>Olszowiec</t>
  </si>
  <si>
    <t>+48507269924</t>
  </si>
  <si>
    <t>Czułek</t>
  </si>
  <si>
    <t>+48604160148</t>
  </si>
  <si>
    <t>Woźniak</t>
  </si>
  <si>
    <t>Juliopol</t>
  </si>
  <si>
    <t>+48509100839</t>
  </si>
  <si>
    <t>Dębowski</t>
  </si>
  <si>
    <t>+48502641437</t>
  </si>
  <si>
    <t>Pająk</t>
  </si>
  <si>
    <t>Sylwia</t>
  </si>
  <si>
    <t>+48507450320</t>
  </si>
  <si>
    <t>Motel</t>
  </si>
  <si>
    <t>+48610737163</t>
  </si>
  <si>
    <t>Dunajewski</t>
  </si>
  <si>
    <t>Piotrkówek</t>
  </si>
  <si>
    <t>+48619278431</t>
  </si>
  <si>
    <t>Pracownik</t>
  </si>
  <si>
    <t>nr telefonu</t>
  </si>
  <si>
    <t>nazwisko_imie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</si>
</sst>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zł&quot;_-;\-* #,##0.00\ &quot;zł&quot;_-;_-* &quot;-&quot;??\ &quot;zł&quot;_-;_-@_-"/>
    <numFmt numFmtId="164" formatCode="&quot; &quot;#,##0&quot; &quot;[$zł-415]&quot; &quot;;&quot;-&quot;#,##0&quot; &quot;[$zł-415]&quot; &quot;;&quot; -&quot;00&quot; &quot;[$zł-415]&quot; &quot;;&quot; &quot;@&quot; &quot;"/>
    <numFmt numFmtId="165" formatCode="&quot; &quot;#,##0.00&quot;    &quot;;&quot;-&quot;#,##0.00&quot;    &quot;;&quot; -&quot;00&quot;    &quot;;&quot; &quot;@&quot; &quot;"/>
    <numFmt numFmtId="166" formatCode="&quot; &quot;#,##0&quot;    &quot;;&quot;-&quot;#,##0&quot;    &quot;;&quot; -&quot;00&quot;    &quot;;&quot; &quot;@&quot; &quot;"/>
    <numFmt numFmtId="167" formatCode="&quot; &quot;#,##0.00&quot; &quot;[$zł-415]&quot; &quot;;&quot;-&quot;#,##0.00&quot; &quot;[$zł-415]&quot; &quot;;&quot; -&quot;00&quot; &quot;[$zł-415]&quot; &quot;;&quot; &quot;@&quot; &quot;"/>
    <numFmt numFmtId="168" formatCode="0&quot; zł&quot;"/>
    <numFmt numFmtId="169" formatCode="#,##0.00\ &quot;zł&quot;"/>
  </numFmts>
  <fonts count="7" x14ac:knownFonts="1">
    <font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9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sz val="10"/>
      <color rgb="FF000000"/>
      <name val="Arial CE"/>
      <charset val="238"/>
    </font>
    <font>
      <sz val="11"/>
      <color theme="1"/>
      <name val="Calibri"/>
      <family val="2"/>
      <scheme val="minor"/>
    </font>
    <font>
      <b/>
      <sz val="1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left" indent="1"/>
    </xf>
    <xf numFmtId="166" fontId="1" fillId="0" borderId="1" xfId="1" applyNumberFormat="1" applyBorder="1"/>
    <xf numFmtId="0" fontId="0" fillId="0" borderId="1" xfId="0" applyBorder="1" applyAlignment="1">
      <alignment horizontal="center" vertical="center"/>
    </xf>
    <xf numFmtId="164" fontId="1" fillId="0" borderId="1" xfId="2" applyNumberFormat="1" applyBorder="1" applyAlignment="1">
      <alignment horizontal="center"/>
    </xf>
    <xf numFmtId="164" fontId="1" fillId="0" borderId="1" xfId="2" applyNumberFormat="1" applyBorder="1"/>
    <xf numFmtId="165" fontId="1" fillId="0" borderId="1" xfId="1" applyBorder="1"/>
    <xf numFmtId="165" fontId="0" fillId="0" borderId="1" xfId="0" applyNumberFormat="1" applyBorder="1"/>
    <xf numFmtId="0" fontId="4" fillId="0" borderId="1" xfId="0" applyFont="1" applyBorder="1"/>
    <xf numFmtId="0" fontId="0" fillId="0" borderId="3" xfId="0" applyBorder="1"/>
    <xf numFmtId="0" fontId="6" fillId="5" borderId="0" xfId="0" applyFont="1" applyFill="1"/>
    <xf numFmtId="0" fontId="6" fillId="5" borderId="6" xfId="0" applyFont="1" applyFill="1" applyBorder="1"/>
    <xf numFmtId="0" fontId="5" fillId="0" borderId="0" xfId="3"/>
    <xf numFmtId="0" fontId="5" fillId="0" borderId="3" xfId="3" applyBorder="1"/>
    <xf numFmtId="0" fontId="5" fillId="0" borderId="3" xfId="3" applyBorder="1" applyAlignment="1">
      <alignment horizontal="center"/>
    </xf>
    <xf numFmtId="0" fontId="5" fillId="3" borderId="3" xfId="3" applyFill="1" applyBorder="1"/>
    <xf numFmtId="0" fontId="6" fillId="4" borderId="3" xfId="3" applyFont="1" applyFill="1" applyBorder="1" applyAlignment="1">
      <alignment horizontal="center"/>
    </xf>
    <xf numFmtId="0" fontId="6" fillId="4" borderId="3" xfId="3" applyFont="1" applyFill="1" applyBorder="1"/>
    <xf numFmtId="0" fontId="6" fillId="4" borderId="3" xfId="3" applyFont="1" applyFill="1" applyBorder="1" applyAlignment="1">
      <alignment horizontal="center" wrapText="1"/>
    </xf>
    <xf numFmtId="0" fontId="6" fillId="3" borderId="3" xfId="3" applyFont="1" applyFill="1" applyBorder="1"/>
    <xf numFmtId="0" fontId="5" fillId="0" borderId="4" xfId="3" applyBorder="1"/>
    <xf numFmtId="0" fontId="5" fillId="0" borderId="5" xfId="3" applyBorder="1"/>
    <xf numFmtId="167" fontId="1" fillId="0" borderId="1" xfId="2" applyBorder="1"/>
    <xf numFmtId="167" fontId="0" fillId="0" borderId="1" xfId="2" applyFont="1" applyBorder="1"/>
    <xf numFmtId="0" fontId="3" fillId="2" borderId="2" xfId="0" applyFont="1" applyFill="1" applyBorder="1" applyAlignment="1">
      <alignment horizontal="center" vertical="center"/>
    </xf>
    <xf numFmtId="168" fontId="1" fillId="0" borderId="1" xfId="1" applyNumberFormat="1" applyBorder="1"/>
    <xf numFmtId="169" fontId="1" fillId="0" borderId="1" xfId="1" applyNumberFormat="1" applyBorder="1"/>
    <xf numFmtId="169" fontId="0" fillId="0" borderId="1" xfId="0" applyNumberFormat="1" applyBorder="1"/>
  </cellXfs>
  <cellStyles count="6">
    <cellStyle name="Dziesiętny" xfId="1" builtinId="3" customBuiltin="1"/>
    <cellStyle name="Normalny" xfId="0" builtinId="0" customBuiltin="1"/>
    <cellStyle name="Normalny 2" xfId="3" xr:uid="{4BE980FA-B2B9-4E61-953E-4AC359DF8189}"/>
    <cellStyle name="Procentowy 2" xfId="5" xr:uid="{F2B00E1C-4B7A-4A4B-94F1-92FE0D1F9279}"/>
    <cellStyle name="Walutowy" xfId="2" builtinId="4" customBuiltin="1"/>
    <cellStyle name="Walutowy 2" xfId="4" xr:uid="{25BF1C4D-5DB2-4D74-BA4F-641B1EAD034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340995</xdr:colOff>
      <xdr:row>6</xdr:row>
      <xdr:rowOff>15240</xdr:rowOff>
    </xdr:from>
    <xdr:to>
      <xdr:col>22</xdr:col>
      <xdr:colOff>554355</xdr:colOff>
      <xdr:row>18</xdr:row>
      <xdr:rowOff>116205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9484995" y="1301115"/>
          <a:ext cx="5699760" cy="204406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l-PL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 kolumnę E (Stawka za godzinę (nowa) wstaw funkcję: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l-PL" sz="1100" b="0" i="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l-PL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WYSZUKAJ.PIONOWO(szukana_wartość; tabela-tablica; nr_kolumny; [przeszukiwany_zakres])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l-PL" sz="1100" b="0" i="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l-PL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tak, aby dopasowała stawki za wizytę zgodnie z tabelą Stawki &gt; kolumną nowe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l-PL" sz="1100" b="0" i="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l-PL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(przeszukiwany_zakres - </a:t>
          </a:r>
          <a:r>
            <a:rPr lang="pl-PL" sz="1100" b="1" i="0" u="sng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prawda</a:t>
          </a:r>
          <a:r>
            <a:rPr lang="pl-PL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tabela musi być pososrtowana </a:t>
          </a:r>
          <a:r>
            <a:rPr lang="pl-PL"/>
            <a:t>Jeśli nie zostanie znalezione dokładne dopasowanie, funkcja zwróci następną największą wartość, która jest mniejsza od wartości argumentu </a:t>
          </a:r>
          <a:r>
            <a:rPr lang="pl-PL" b="1" i="1"/>
            <a:t>szukana_wartość</a:t>
          </a:r>
          <a:r>
            <a:rPr lang="pl-PL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pl-PL" sz="1100" b="1" i="0" u="sng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fałsz</a:t>
          </a:r>
          <a:r>
            <a:rPr lang="pl-PL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- tabela nie musi być pososrtowana. Zwraca wartość dokładnie dopasowaną lub błąd)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l-PL">
            <a:effectLst/>
          </a:endParaRPr>
        </a:p>
        <a:p>
          <a:pPr algn="l"/>
          <a:endParaRPr lang="pl-PL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340995</xdr:colOff>
      <xdr:row>6</xdr:row>
      <xdr:rowOff>15241</xdr:rowOff>
    </xdr:from>
    <xdr:to>
      <xdr:col>22</xdr:col>
      <xdr:colOff>554355</xdr:colOff>
      <xdr:row>10</xdr:row>
      <xdr:rowOff>76201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C4574216-8AAE-4C8E-9109-7CADD5CCC8EA}"/>
            </a:ext>
          </a:extLst>
        </xdr:cNvPr>
        <xdr:cNvSpPr/>
      </xdr:nvSpPr>
      <xdr:spPr>
        <a:xfrm>
          <a:off x="9484995" y="1301116"/>
          <a:ext cx="5699760" cy="70866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l-PL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wykonaj to samo zadanie z wyszukaj.pionowo ale tablicę nazwij "stawki" używając nazw komórek/zakresów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l-PL" sz="1100" b="0" i="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l-PL">
            <a:effectLst/>
          </a:endParaRPr>
        </a:p>
        <a:p>
          <a:pPr algn="l"/>
          <a:endParaRPr lang="pl-PL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340995</xdr:colOff>
      <xdr:row>6</xdr:row>
      <xdr:rowOff>15241</xdr:rowOff>
    </xdr:from>
    <xdr:to>
      <xdr:col>22</xdr:col>
      <xdr:colOff>554355</xdr:colOff>
      <xdr:row>9</xdr:row>
      <xdr:rowOff>133350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D716E613-EAE8-45CA-A5F4-A0B66F025238}"/>
            </a:ext>
          </a:extLst>
        </xdr:cNvPr>
        <xdr:cNvSpPr/>
      </xdr:nvSpPr>
      <xdr:spPr>
        <a:xfrm>
          <a:off x="9484995" y="1301116"/>
          <a:ext cx="5699760" cy="60388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l-PL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Korzystając z funkcji JEŻELI.BŁĄD  napisz formułe  zwracającą tekst: "&lt;&lt;&lt;wpisz poprawnie stopień" - jako obsługę błędu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l-PL" sz="1100" b="0" i="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l-PL">
            <a:effectLst/>
          </a:endParaRPr>
        </a:p>
        <a:p>
          <a:pPr algn="l"/>
          <a:endParaRPr lang="pl-PL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523875</xdr:colOff>
      <xdr:row>3</xdr:row>
      <xdr:rowOff>38100</xdr:rowOff>
    </xdr:from>
    <xdr:to>
      <xdr:col>17</xdr:col>
      <xdr:colOff>127635</xdr:colOff>
      <xdr:row>6</xdr:row>
      <xdr:rowOff>175260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594D74D7-2BAF-462F-ABE9-74F0F1B398B1}"/>
            </a:ext>
          </a:extLst>
        </xdr:cNvPr>
        <xdr:cNvSpPr/>
      </xdr:nvSpPr>
      <xdr:spPr>
        <a:xfrm>
          <a:off x="6772275" y="885825"/>
          <a:ext cx="5699760" cy="70866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l-PL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oblicz wartość sprzedaży w zł.  dla kursu Euro wczesniej ustaw nazwę " kurs-euro"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l-PL" sz="1100" b="0" i="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l-PL">
            <a:effectLst/>
          </a:endParaRPr>
        </a:p>
        <a:p>
          <a:pPr algn="l"/>
          <a:endParaRPr lang="pl-PL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</xdr:colOff>
      <xdr:row>7</xdr:row>
      <xdr:rowOff>104774</xdr:rowOff>
    </xdr:from>
    <xdr:to>
      <xdr:col>15</xdr:col>
      <xdr:colOff>285750</xdr:colOff>
      <xdr:row>17</xdr:row>
      <xdr:rowOff>114299</xdr:rowOff>
    </xdr:to>
    <xdr:sp macro="" textlink="">
      <xdr:nvSpPr>
        <xdr:cNvPr id="2" name="Prostokąt: zaokrąglone rogi 1">
          <a:extLst>
            <a:ext uri="{FF2B5EF4-FFF2-40B4-BE49-F238E27FC236}">
              <a16:creationId xmlns:a16="http://schemas.microsoft.com/office/drawing/2014/main" id="{13C61BA3-B2FB-494E-BB8B-8E620FD48819}"/>
            </a:ext>
          </a:extLst>
        </xdr:cNvPr>
        <xdr:cNvSpPr/>
      </xdr:nvSpPr>
      <xdr:spPr>
        <a:xfrm>
          <a:off x="5581650" y="1238249"/>
          <a:ext cx="5695950" cy="16287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1. pracownik wybierany z listy rozwijalnej - odwołanie do arkusza dane</a:t>
          </a:r>
        </a:p>
        <a:p>
          <a:pPr algn="l"/>
          <a:endParaRPr lang="pl-PL" sz="1100"/>
        </a:p>
        <a:p>
          <a:pPr algn="l"/>
          <a:r>
            <a:rPr lang="pl-PL" sz="1100"/>
            <a:t>2. korzystając z funkcji Wyszukaj</a:t>
          </a:r>
          <a:r>
            <a:rPr lang="pl-PL" sz="1100" baseline="0"/>
            <a:t> wpisz formułę tak, że po wybraniu nazwiska pokazuje się nr telefonu pracownika</a:t>
          </a:r>
        </a:p>
        <a:p>
          <a:pPr algn="l"/>
          <a:endParaRPr lang="pl-PL" sz="1100" baseline="0"/>
        </a:p>
        <a:p>
          <a:pPr algn="l"/>
          <a:r>
            <a:rPr lang="pl-PL" sz="1100" baseline="0"/>
            <a:t>3. Wstaw komentarz przy komórce C3: wybierz pracownika z listy</a:t>
          </a:r>
        </a:p>
        <a:p>
          <a:pPr algn="l"/>
          <a:endParaRPr lang="pl-PL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293370</xdr:colOff>
      <xdr:row>9</xdr:row>
      <xdr:rowOff>15241</xdr:rowOff>
    </xdr:from>
    <xdr:to>
      <xdr:col>22</xdr:col>
      <xdr:colOff>506730</xdr:colOff>
      <xdr:row>13</xdr:row>
      <xdr:rowOff>1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145D4179-A4A3-4915-A72C-F3B5B4E7EC88}"/>
            </a:ext>
          </a:extLst>
        </xdr:cNvPr>
        <xdr:cNvSpPr/>
      </xdr:nvSpPr>
      <xdr:spPr>
        <a:xfrm>
          <a:off x="9761220" y="1786891"/>
          <a:ext cx="5699760" cy="63246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l-PL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zablokuj edycję komórek, tak aby użytkownik mógł wpisywać tylko liczbę pacjenów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l-PL" sz="1100" b="0" i="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l-PL">
            <a:effectLst/>
          </a:endParaRPr>
        </a:p>
        <a:p>
          <a:pPr algn="l"/>
          <a:endParaRPr lang="pl-PL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workbookViewId="0">
      <selection activeCell="P28" sqref="P28"/>
    </sheetView>
  </sheetViews>
  <sheetFormatPr defaultRowHeight="12.75" x14ac:dyDescent="0.2"/>
  <cols>
    <col min="1" max="1" width="10.7109375" customWidth="1"/>
    <col min="2" max="2" width="12.85546875" customWidth="1"/>
    <col min="3" max="3" width="17" customWidth="1"/>
    <col min="4" max="4" width="7.7109375" bestFit="1" customWidth="1"/>
    <col min="5" max="5" width="18" customWidth="1"/>
    <col min="6" max="8" width="9.140625" customWidth="1"/>
    <col min="9" max="9" width="9.7109375" customWidth="1"/>
    <col min="10" max="10" width="10.140625" bestFit="1" customWidth="1"/>
    <col min="11" max="11" width="8.5703125" bestFit="1" customWidth="1"/>
    <col min="12" max="12" width="10.140625" bestFit="1" customWidth="1"/>
  </cols>
  <sheetData>
    <row r="1" spans="1:16" ht="37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48</v>
      </c>
      <c r="F1" s="2" t="s">
        <v>4</v>
      </c>
      <c r="G1" s="1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  <c r="N1" s="29" t="s">
        <v>45</v>
      </c>
      <c r="O1" s="29"/>
      <c r="P1" s="29"/>
    </row>
    <row r="2" spans="1:16" x14ac:dyDescent="0.2">
      <c r="A2" s="3" t="s">
        <v>11</v>
      </c>
      <c r="B2" s="4" t="s">
        <v>12</v>
      </c>
      <c r="C2" s="5" t="s">
        <v>13</v>
      </c>
      <c r="D2" s="6" t="s">
        <v>14</v>
      </c>
      <c r="E2" s="30">
        <f>VLOOKUP(D2,$N$3:$P$5,3,FALSE)</f>
        <v>90</v>
      </c>
      <c r="F2" s="7">
        <v>5</v>
      </c>
      <c r="G2" s="8">
        <v>64</v>
      </c>
      <c r="H2" s="9">
        <v>4</v>
      </c>
      <c r="I2" s="10">
        <v>350</v>
      </c>
      <c r="J2" s="31">
        <f>ROUNDUP(G2/F2,0)*E2</f>
        <v>1170</v>
      </c>
      <c r="K2" s="31">
        <f>ROUNDUP(G2/F2,0)*H2+I2</f>
        <v>402</v>
      </c>
      <c r="L2" s="32">
        <f>J2-K2</f>
        <v>768</v>
      </c>
      <c r="O2" t="s">
        <v>46</v>
      </c>
      <c r="P2" t="s">
        <v>47</v>
      </c>
    </row>
    <row r="3" spans="1:16" x14ac:dyDescent="0.2">
      <c r="A3" s="3" t="s">
        <v>17</v>
      </c>
      <c r="B3" s="4" t="s">
        <v>12</v>
      </c>
      <c r="C3" s="5" t="s">
        <v>13</v>
      </c>
      <c r="D3" s="6" t="s">
        <v>14</v>
      </c>
      <c r="E3" s="30">
        <f t="shared" ref="E3:E31" si="0">VLOOKUP(D3,$N$3:$P$5,3,FALSE)</f>
        <v>90</v>
      </c>
      <c r="F3" s="7">
        <v>5</v>
      </c>
      <c r="G3" s="8">
        <v>55</v>
      </c>
      <c r="H3" s="9">
        <v>4</v>
      </c>
      <c r="I3" s="10">
        <v>300</v>
      </c>
      <c r="J3" s="31">
        <f t="shared" ref="J3:J31" si="1">ROUNDUP(G3/F3,0)*E3</f>
        <v>990</v>
      </c>
      <c r="K3" s="31">
        <f t="shared" ref="K3:K31" si="2">ROUNDUP(G3/F3,0)*H3+I3</f>
        <v>344</v>
      </c>
      <c r="L3" s="32">
        <f t="shared" ref="L3:L31" si="3">J3-K3</f>
        <v>646</v>
      </c>
      <c r="N3" s="14" t="s">
        <v>15</v>
      </c>
      <c r="O3" s="14">
        <v>20</v>
      </c>
      <c r="P3" s="14">
        <v>60</v>
      </c>
    </row>
    <row r="4" spans="1:16" x14ac:dyDescent="0.2">
      <c r="A4" s="3" t="s">
        <v>11</v>
      </c>
      <c r="B4" s="4" t="s">
        <v>18</v>
      </c>
      <c r="C4" s="13" t="s">
        <v>19</v>
      </c>
      <c r="D4" s="6" t="s">
        <v>15</v>
      </c>
      <c r="E4" s="30">
        <f t="shared" si="0"/>
        <v>60</v>
      </c>
      <c r="F4" s="7">
        <v>5</v>
      </c>
      <c r="G4" s="8">
        <v>100</v>
      </c>
      <c r="H4" s="9">
        <v>7</v>
      </c>
      <c r="I4" s="10">
        <v>350</v>
      </c>
      <c r="J4" s="31">
        <f t="shared" si="1"/>
        <v>1200</v>
      </c>
      <c r="K4" s="31">
        <f t="shared" si="2"/>
        <v>490</v>
      </c>
      <c r="L4" s="32">
        <f t="shared" si="3"/>
        <v>710</v>
      </c>
      <c r="N4" s="14" t="s">
        <v>14</v>
      </c>
      <c r="O4" s="14">
        <v>40</v>
      </c>
      <c r="P4" s="14">
        <v>90</v>
      </c>
    </row>
    <row r="5" spans="1:16" x14ac:dyDescent="0.2">
      <c r="A5" s="3" t="s">
        <v>11</v>
      </c>
      <c r="B5" s="4" t="s">
        <v>20</v>
      </c>
      <c r="C5" s="13" t="s">
        <v>21</v>
      </c>
      <c r="D5" s="6" t="s">
        <v>14</v>
      </c>
      <c r="E5" s="30">
        <f t="shared" si="0"/>
        <v>90</v>
      </c>
      <c r="F5" s="7">
        <v>3</v>
      </c>
      <c r="G5" s="8">
        <v>89</v>
      </c>
      <c r="H5" s="9">
        <v>5</v>
      </c>
      <c r="I5" s="10">
        <v>350</v>
      </c>
      <c r="J5" s="31">
        <f t="shared" si="1"/>
        <v>2700</v>
      </c>
      <c r="K5" s="31">
        <f t="shared" si="2"/>
        <v>500</v>
      </c>
      <c r="L5" s="32">
        <f t="shared" si="3"/>
        <v>2200</v>
      </c>
      <c r="N5" s="14" t="s">
        <v>16</v>
      </c>
      <c r="O5" s="14">
        <v>80</v>
      </c>
      <c r="P5" s="14">
        <v>120</v>
      </c>
    </row>
    <row r="6" spans="1:16" x14ac:dyDescent="0.2">
      <c r="A6" s="3" t="s">
        <v>22</v>
      </c>
      <c r="B6" s="4" t="s">
        <v>20</v>
      </c>
      <c r="C6" s="13" t="s">
        <v>21</v>
      </c>
      <c r="D6" s="6" t="s">
        <v>14</v>
      </c>
      <c r="E6" s="30">
        <f t="shared" si="0"/>
        <v>90</v>
      </c>
      <c r="F6" s="7">
        <v>3</v>
      </c>
      <c r="G6" s="8">
        <v>52</v>
      </c>
      <c r="H6" s="9">
        <v>5</v>
      </c>
      <c r="I6" s="10">
        <v>250</v>
      </c>
      <c r="J6" s="31">
        <f t="shared" si="1"/>
        <v>1620</v>
      </c>
      <c r="K6" s="31">
        <f t="shared" si="2"/>
        <v>340</v>
      </c>
      <c r="L6" s="32">
        <f t="shared" si="3"/>
        <v>1280</v>
      </c>
    </row>
    <row r="7" spans="1:16" x14ac:dyDescent="0.2">
      <c r="A7" s="3" t="s">
        <v>17</v>
      </c>
      <c r="B7" s="5" t="s">
        <v>23</v>
      </c>
      <c r="C7" s="5" t="s">
        <v>24</v>
      </c>
      <c r="D7" s="6" t="s">
        <v>15</v>
      </c>
      <c r="E7" s="30">
        <f t="shared" si="0"/>
        <v>60</v>
      </c>
      <c r="F7" s="7">
        <v>6</v>
      </c>
      <c r="G7" s="8">
        <v>48</v>
      </c>
      <c r="H7" s="9">
        <v>4</v>
      </c>
      <c r="I7" s="10">
        <v>300</v>
      </c>
      <c r="J7" s="31">
        <f t="shared" si="1"/>
        <v>480</v>
      </c>
      <c r="K7" s="31">
        <f t="shared" si="2"/>
        <v>332</v>
      </c>
      <c r="L7" s="32">
        <f t="shared" si="3"/>
        <v>148</v>
      </c>
    </row>
    <row r="8" spans="1:16" x14ac:dyDescent="0.2">
      <c r="A8" s="3" t="s">
        <v>11</v>
      </c>
      <c r="B8" s="4" t="s">
        <v>25</v>
      </c>
      <c r="C8" s="13" t="s">
        <v>26</v>
      </c>
      <c r="D8" s="6" t="s">
        <v>16</v>
      </c>
      <c r="E8" s="30">
        <f t="shared" si="0"/>
        <v>120</v>
      </c>
      <c r="F8" s="7">
        <v>6</v>
      </c>
      <c r="G8" s="8">
        <v>44</v>
      </c>
      <c r="H8" s="9">
        <v>4</v>
      </c>
      <c r="I8" s="10">
        <v>350</v>
      </c>
      <c r="J8" s="31">
        <f t="shared" si="1"/>
        <v>960</v>
      </c>
      <c r="K8" s="31">
        <f t="shared" si="2"/>
        <v>382</v>
      </c>
      <c r="L8" s="32">
        <f t="shared" si="3"/>
        <v>578</v>
      </c>
    </row>
    <row r="9" spans="1:16" x14ac:dyDescent="0.2">
      <c r="A9" s="3" t="s">
        <v>17</v>
      </c>
      <c r="B9" s="4" t="s">
        <v>25</v>
      </c>
      <c r="C9" s="13" t="s">
        <v>26</v>
      </c>
      <c r="D9" s="6" t="s">
        <v>16</v>
      </c>
      <c r="E9" s="30">
        <f t="shared" si="0"/>
        <v>120</v>
      </c>
      <c r="F9" s="7">
        <v>6</v>
      </c>
      <c r="G9" s="8">
        <v>36</v>
      </c>
      <c r="H9" s="9">
        <v>4</v>
      </c>
      <c r="I9" s="10">
        <v>300</v>
      </c>
      <c r="J9" s="31">
        <f t="shared" si="1"/>
        <v>720</v>
      </c>
      <c r="K9" s="31">
        <f t="shared" si="2"/>
        <v>324</v>
      </c>
      <c r="L9" s="32">
        <f t="shared" si="3"/>
        <v>396</v>
      </c>
    </row>
    <row r="10" spans="1:16" x14ac:dyDescent="0.2">
      <c r="A10" s="3" t="s">
        <v>22</v>
      </c>
      <c r="B10" s="4" t="s">
        <v>25</v>
      </c>
      <c r="C10" s="13" t="s">
        <v>26</v>
      </c>
      <c r="D10" s="6" t="s">
        <v>16</v>
      </c>
      <c r="E10" s="30">
        <f t="shared" si="0"/>
        <v>120</v>
      </c>
      <c r="F10" s="7">
        <v>6</v>
      </c>
      <c r="G10" s="8">
        <v>59</v>
      </c>
      <c r="H10" s="9">
        <v>4</v>
      </c>
      <c r="I10" s="10">
        <v>250</v>
      </c>
      <c r="J10" s="31">
        <f t="shared" si="1"/>
        <v>1200</v>
      </c>
      <c r="K10" s="31">
        <f t="shared" si="2"/>
        <v>290</v>
      </c>
      <c r="L10" s="32">
        <f t="shared" si="3"/>
        <v>910</v>
      </c>
    </row>
    <row r="11" spans="1:16" x14ac:dyDescent="0.2">
      <c r="A11" s="3" t="s">
        <v>17</v>
      </c>
      <c r="B11" s="4" t="s">
        <v>18</v>
      </c>
      <c r="C11" s="13" t="s">
        <v>27</v>
      </c>
      <c r="D11" s="6" t="s">
        <v>16</v>
      </c>
      <c r="E11" s="30">
        <f t="shared" si="0"/>
        <v>120</v>
      </c>
      <c r="F11" s="7">
        <v>5</v>
      </c>
      <c r="G11" s="8">
        <v>85</v>
      </c>
      <c r="H11" s="9">
        <v>6</v>
      </c>
      <c r="I11" s="10">
        <v>300</v>
      </c>
      <c r="J11" s="31">
        <f t="shared" si="1"/>
        <v>2040</v>
      </c>
      <c r="K11" s="31">
        <f t="shared" si="2"/>
        <v>402</v>
      </c>
      <c r="L11" s="32">
        <f t="shared" si="3"/>
        <v>1638</v>
      </c>
    </row>
    <row r="12" spans="1:16" x14ac:dyDescent="0.2">
      <c r="A12" s="3" t="s">
        <v>22</v>
      </c>
      <c r="B12" s="4" t="s">
        <v>18</v>
      </c>
      <c r="C12" s="13" t="s">
        <v>27</v>
      </c>
      <c r="D12" s="6" t="s">
        <v>16</v>
      </c>
      <c r="E12" s="30">
        <f t="shared" si="0"/>
        <v>120</v>
      </c>
      <c r="F12" s="7">
        <v>5</v>
      </c>
      <c r="G12" s="8">
        <v>75</v>
      </c>
      <c r="H12" s="9">
        <v>5</v>
      </c>
      <c r="I12" s="10">
        <v>250</v>
      </c>
      <c r="J12" s="31">
        <f t="shared" si="1"/>
        <v>1800</v>
      </c>
      <c r="K12" s="31">
        <f t="shared" si="2"/>
        <v>325</v>
      </c>
      <c r="L12" s="32">
        <f t="shared" si="3"/>
        <v>1475</v>
      </c>
    </row>
    <row r="13" spans="1:16" x14ac:dyDescent="0.2">
      <c r="A13" s="3" t="s">
        <v>17</v>
      </c>
      <c r="B13" s="4" t="s">
        <v>20</v>
      </c>
      <c r="C13" s="13" t="s">
        <v>28</v>
      </c>
      <c r="D13" s="6" t="s">
        <v>15</v>
      </c>
      <c r="E13" s="30">
        <f t="shared" si="0"/>
        <v>60</v>
      </c>
      <c r="F13" s="7">
        <v>3</v>
      </c>
      <c r="G13" s="8">
        <v>62</v>
      </c>
      <c r="H13" s="9">
        <v>5</v>
      </c>
      <c r="I13" s="10">
        <v>300</v>
      </c>
      <c r="J13" s="31">
        <f t="shared" si="1"/>
        <v>1260</v>
      </c>
      <c r="K13" s="31">
        <f t="shared" si="2"/>
        <v>405</v>
      </c>
      <c r="L13" s="32">
        <f t="shared" si="3"/>
        <v>855</v>
      </c>
    </row>
    <row r="14" spans="1:16" x14ac:dyDescent="0.2">
      <c r="A14" s="3" t="s">
        <v>11</v>
      </c>
      <c r="B14" s="5" t="s">
        <v>29</v>
      </c>
      <c r="C14" s="5" t="s">
        <v>30</v>
      </c>
      <c r="D14" s="6" t="s">
        <v>14</v>
      </c>
      <c r="E14" s="30">
        <f t="shared" si="0"/>
        <v>90</v>
      </c>
      <c r="F14" s="7">
        <v>5</v>
      </c>
      <c r="G14" s="8">
        <v>66</v>
      </c>
      <c r="H14" s="9">
        <v>5</v>
      </c>
      <c r="I14" s="10">
        <v>350</v>
      </c>
      <c r="J14" s="31">
        <f t="shared" si="1"/>
        <v>1260</v>
      </c>
      <c r="K14" s="31">
        <f t="shared" si="2"/>
        <v>420</v>
      </c>
      <c r="L14" s="32">
        <f t="shared" si="3"/>
        <v>840</v>
      </c>
    </row>
    <row r="15" spans="1:16" x14ac:dyDescent="0.2">
      <c r="A15" s="3" t="s">
        <v>17</v>
      </c>
      <c r="B15" s="5" t="s">
        <v>29</v>
      </c>
      <c r="C15" s="5" t="s">
        <v>30</v>
      </c>
      <c r="D15" s="6" t="s">
        <v>14</v>
      </c>
      <c r="E15" s="30">
        <f t="shared" si="0"/>
        <v>90</v>
      </c>
      <c r="F15" s="7">
        <v>5</v>
      </c>
      <c r="G15" s="8">
        <v>57</v>
      </c>
      <c r="H15" s="9">
        <v>5</v>
      </c>
      <c r="I15" s="10">
        <v>300</v>
      </c>
      <c r="J15" s="31">
        <f t="shared" si="1"/>
        <v>1080</v>
      </c>
      <c r="K15" s="31">
        <f t="shared" si="2"/>
        <v>360</v>
      </c>
      <c r="L15" s="32">
        <f t="shared" si="3"/>
        <v>720</v>
      </c>
    </row>
    <row r="16" spans="1:16" x14ac:dyDescent="0.2">
      <c r="A16" s="3" t="s">
        <v>22</v>
      </c>
      <c r="B16" s="5" t="s">
        <v>29</v>
      </c>
      <c r="C16" s="5" t="s">
        <v>30</v>
      </c>
      <c r="D16" s="6" t="s">
        <v>14</v>
      </c>
      <c r="E16" s="30">
        <f t="shared" si="0"/>
        <v>90</v>
      </c>
      <c r="F16" s="7">
        <v>5</v>
      </c>
      <c r="G16" s="8">
        <v>104</v>
      </c>
      <c r="H16" s="9">
        <v>5</v>
      </c>
      <c r="I16" s="10">
        <v>250</v>
      </c>
      <c r="J16" s="31">
        <f t="shared" si="1"/>
        <v>1890</v>
      </c>
      <c r="K16" s="31">
        <f t="shared" si="2"/>
        <v>355</v>
      </c>
      <c r="L16" s="32">
        <f t="shared" si="3"/>
        <v>1535</v>
      </c>
    </row>
    <row r="17" spans="1:12" x14ac:dyDescent="0.2">
      <c r="A17" s="3" t="s">
        <v>11</v>
      </c>
      <c r="B17" s="5" t="s">
        <v>31</v>
      </c>
      <c r="C17" s="13" t="s">
        <v>32</v>
      </c>
      <c r="D17" s="6" t="s">
        <v>14</v>
      </c>
      <c r="E17" s="30">
        <f t="shared" si="0"/>
        <v>90</v>
      </c>
      <c r="F17" s="7">
        <v>4</v>
      </c>
      <c r="G17" s="8">
        <v>211</v>
      </c>
      <c r="H17" s="9">
        <v>5</v>
      </c>
      <c r="I17" s="10">
        <v>350</v>
      </c>
      <c r="J17" s="31">
        <f t="shared" si="1"/>
        <v>4770</v>
      </c>
      <c r="K17" s="31">
        <f t="shared" si="2"/>
        <v>615</v>
      </c>
      <c r="L17" s="32">
        <f t="shared" si="3"/>
        <v>4155</v>
      </c>
    </row>
    <row r="18" spans="1:12" x14ac:dyDescent="0.2">
      <c r="A18" s="3" t="s">
        <v>17</v>
      </c>
      <c r="B18" s="5" t="s">
        <v>31</v>
      </c>
      <c r="C18" s="13" t="s">
        <v>32</v>
      </c>
      <c r="D18" s="6" t="s">
        <v>14</v>
      </c>
      <c r="E18" s="30">
        <f t="shared" si="0"/>
        <v>90</v>
      </c>
      <c r="F18" s="7">
        <v>4</v>
      </c>
      <c r="G18" s="8">
        <v>245</v>
      </c>
      <c r="H18" s="9">
        <v>4</v>
      </c>
      <c r="I18" s="10">
        <v>300</v>
      </c>
      <c r="J18" s="31">
        <f t="shared" si="1"/>
        <v>5580</v>
      </c>
      <c r="K18" s="31">
        <f t="shared" si="2"/>
        <v>548</v>
      </c>
      <c r="L18" s="32">
        <f t="shared" si="3"/>
        <v>5032</v>
      </c>
    </row>
    <row r="19" spans="1:12" x14ac:dyDescent="0.2">
      <c r="A19" s="3" t="s">
        <v>22</v>
      </c>
      <c r="B19" s="5" t="s">
        <v>31</v>
      </c>
      <c r="C19" s="5" t="s">
        <v>33</v>
      </c>
      <c r="D19" s="6" t="s">
        <v>16</v>
      </c>
      <c r="E19" s="30">
        <f t="shared" si="0"/>
        <v>120</v>
      </c>
      <c r="F19" s="7">
        <v>4</v>
      </c>
      <c r="G19" s="8">
        <v>155</v>
      </c>
      <c r="H19" s="9">
        <v>5</v>
      </c>
      <c r="I19" s="10">
        <v>250</v>
      </c>
      <c r="J19" s="31">
        <f t="shared" si="1"/>
        <v>4680</v>
      </c>
      <c r="K19" s="31">
        <f t="shared" si="2"/>
        <v>445</v>
      </c>
      <c r="L19" s="32">
        <f t="shared" si="3"/>
        <v>4235</v>
      </c>
    </row>
    <row r="20" spans="1:12" x14ac:dyDescent="0.2">
      <c r="A20" s="3" t="s">
        <v>11</v>
      </c>
      <c r="B20" s="5" t="s">
        <v>34</v>
      </c>
      <c r="C20" s="5" t="s">
        <v>35</v>
      </c>
      <c r="D20" s="6" t="s">
        <v>15</v>
      </c>
      <c r="E20" s="30">
        <f t="shared" si="0"/>
        <v>60</v>
      </c>
      <c r="F20" s="7">
        <v>3</v>
      </c>
      <c r="G20" s="8">
        <v>96</v>
      </c>
      <c r="H20" s="9">
        <v>5</v>
      </c>
      <c r="I20" s="10">
        <v>350</v>
      </c>
      <c r="J20" s="31">
        <f t="shared" si="1"/>
        <v>1920</v>
      </c>
      <c r="K20" s="31">
        <f t="shared" si="2"/>
        <v>510</v>
      </c>
      <c r="L20" s="32">
        <f t="shared" si="3"/>
        <v>1410</v>
      </c>
    </row>
    <row r="21" spans="1:12" x14ac:dyDescent="0.2">
      <c r="A21" s="3" t="s">
        <v>17</v>
      </c>
      <c r="B21" s="5" t="s">
        <v>34</v>
      </c>
      <c r="C21" s="5" t="s">
        <v>35</v>
      </c>
      <c r="D21" s="6" t="s">
        <v>15</v>
      </c>
      <c r="E21" s="30">
        <f t="shared" si="0"/>
        <v>60</v>
      </c>
      <c r="F21" s="7">
        <v>3</v>
      </c>
      <c r="G21" s="8">
        <v>105</v>
      </c>
      <c r="H21" s="9">
        <v>5</v>
      </c>
      <c r="I21" s="10">
        <v>300</v>
      </c>
      <c r="J21" s="31">
        <f t="shared" si="1"/>
        <v>2100</v>
      </c>
      <c r="K21" s="31">
        <f t="shared" si="2"/>
        <v>475</v>
      </c>
      <c r="L21" s="32">
        <f t="shared" si="3"/>
        <v>1625</v>
      </c>
    </row>
    <row r="22" spans="1:12" x14ac:dyDescent="0.2">
      <c r="A22" s="3" t="s">
        <v>22</v>
      </c>
      <c r="B22" s="5" t="s">
        <v>34</v>
      </c>
      <c r="C22" s="5" t="s">
        <v>36</v>
      </c>
      <c r="D22" s="6" t="s">
        <v>14</v>
      </c>
      <c r="E22" s="30">
        <f t="shared" si="0"/>
        <v>90</v>
      </c>
      <c r="F22" s="7">
        <v>3</v>
      </c>
      <c r="G22" s="8">
        <v>165</v>
      </c>
      <c r="H22" s="9">
        <v>5</v>
      </c>
      <c r="I22" s="10">
        <v>250</v>
      </c>
      <c r="J22" s="31">
        <f t="shared" si="1"/>
        <v>4950</v>
      </c>
      <c r="K22" s="31">
        <f t="shared" si="2"/>
        <v>525</v>
      </c>
      <c r="L22" s="32">
        <f t="shared" si="3"/>
        <v>4425</v>
      </c>
    </row>
    <row r="23" spans="1:12" x14ac:dyDescent="0.2">
      <c r="A23" s="3" t="s">
        <v>22</v>
      </c>
      <c r="B23" s="5" t="s">
        <v>37</v>
      </c>
      <c r="C23" s="5" t="s">
        <v>38</v>
      </c>
      <c r="D23" s="6" t="s">
        <v>15</v>
      </c>
      <c r="E23" s="30">
        <f t="shared" si="0"/>
        <v>60</v>
      </c>
      <c r="F23" s="7">
        <v>4</v>
      </c>
      <c r="G23" s="8">
        <v>187</v>
      </c>
      <c r="H23" s="9">
        <v>6</v>
      </c>
      <c r="I23" s="10">
        <v>250</v>
      </c>
      <c r="J23" s="31">
        <f t="shared" si="1"/>
        <v>2820</v>
      </c>
      <c r="K23" s="31">
        <f t="shared" si="2"/>
        <v>532</v>
      </c>
      <c r="L23" s="32">
        <f t="shared" si="3"/>
        <v>2288</v>
      </c>
    </row>
    <row r="24" spans="1:12" x14ac:dyDescent="0.2">
      <c r="A24" s="3" t="s">
        <v>11</v>
      </c>
      <c r="B24" s="5" t="s">
        <v>23</v>
      </c>
      <c r="C24" s="5" t="s">
        <v>39</v>
      </c>
      <c r="D24" s="6" t="s">
        <v>15</v>
      </c>
      <c r="E24" s="30">
        <f t="shared" si="0"/>
        <v>60</v>
      </c>
      <c r="F24" s="7">
        <v>6</v>
      </c>
      <c r="G24" s="8">
        <v>51</v>
      </c>
      <c r="H24" s="9">
        <v>4</v>
      </c>
      <c r="I24" s="10">
        <v>350</v>
      </c>
      <c r="J24" s="31">
        <f t="shared" si="1"/>
        <v>540</v>
      </c>
      <c r="K24" s="31">
        <f t="shared" si="2"/>
        <v>386</v>
      </c>
      <c r="L24" s="32">
        <f t="shared" si="3"/>
        <v>154</v>
      </c>
    </row>
    <row r="25" spans="1:12" x14ac:dyDescent="0.2">
      <c r="A25" s="3" t="s">
        <v>22</v>
      </c>
      <c r="B25" s="5" t="s">
        <v>23</v>
      </c>
      <c r="C25" s="5" t="s">
        <v>39</v>
      </c>
      <c r="D25" s="6" t="s">
        <v>15</v>
      </c>
      <c r="E25" s="30">
        <f t="shared" si="0"/>
        <v>60</v>
      </c>
      <c r="F25" s="7">
        <v>6</v>
      </c>
      <c r="G25" s="8">
        <v>98</v>
      </c>
      <c r="H25" s="9">
        <v>4</v>
      </c>
      <c r="I25" s="10">
        <v>250</v>
      </c>
      <c r="J25" s="31">
        <f t="shared" si="1"/>
        <v>1020</v>
      </c>
      <c r="K25" s="31">
        <f t="shared" si="2"/>
        <v>318</v>
      </c>
      <c r="L25" s="32">
        <f t="shared" si="3"/>
        <v>702</v>
      </c>
    </row>
    <row r="26" spans="1:12" x14ac:dyDescent="0.2">
      <c r="A26" s="3" t="s">
        <v>22</v>
      </c>
      <c r="B26" s="4" t="s">
        <v>12</v>
      </c>
      <c r="C26" s="5" t="s">
        <v>40</v>
      </c>
      <c r="D26" s="6" t="s">
        <v>16</v>
      </c>
      <c r="E26" s="30">
        <f t="shared" si="0"/>
        <v>120</v>
      </c>
      <c r="F26" s="7">
        <v>5</v>
      </c>
      <c r="G26" s="8">
        <v>68</v>
      </c>
      <c r="H26" s="9">
        <v>4</v>
      </c>
      <c r="I26" s="10">
        <v>250</v>
      </c>
      <c r="J26" s="31">
        <f t="shared" si="1"/>
        <v>1680</v>
      </c>
      <c r="K26" s="31">
        <f t="shared" si="2"/>
        <v>306</v>
      </c>
      <c r="L26" s="32">
        <f t="shared" si="3"/>
        <v>1374</v>
      </c>
    </row>
    <row r="27" spans="1:12" x14ac:dyDescent="0.2">
      <c r="A27" s="3" t="s">
        <v>11</v>
      </c>
      <c r="B27" s="5" t="s">
        <v>37</v>
      </c>
      <c r="C27" s="13" t="s">
        <v>41</v>
      </c>
      <c r="D27" s="6" t="s">
        <v>15</v>
      </c>
      <c r="E27" s="30">
        <f t="shared" si="0"/>
        <v>60</v>
      </c>
      <c r="F27" s="7">
        <v>4</v>
      </c>
      <c r="G27" s="8">
        <v>105</v>
      </c>
      <c r="H27" s="9">
        <v>7</v>
      </c>
      <c r="I27" s="10">
        <v>350</v>
      </c>
      <c r="J27" s="31">
        <f t="shared" si="1"/>
        <v>1620</v>
      </c>
      <c r="K27" s="31">
        <f t="shared" si="2"/>
        <v>539</v>
      </c>
      <c r="L27" s="32">
        <f t="shared" si="3"/>
        <v>1081</v>
      </c>
    </row>
    <row r="28" spans="1:12" x14ac:dyDescent="0.2">
      <c r="A28" s="3" t="s">
        <v>17</v>
      </c>
      <c r="B28" s="5" t="s">
        <v>37</v>
      </c>
      <c r="C28" s="13" t="s">
        <v>41</v>
      </c>
      <c r="D28" s="6" t="s">
        <v>15</v>
      </c>
      <c r="E28" s="30">
        <f t="shared" si="0"/>
        <v>60</v>
      </c>
      <c r="F28" s="7">
        <v>4</v>
      </c>
      <c r="G28" s="8">
        <v>189</v>
      </c>
      <c r="H28" s="9">
        <v>7</v>
      </c>
      <c r="I28" s="10">
        <v>300</v>
      </c>
      <c r="J28" s="31">
        <f t="shared" si="1"/>
        <v>2880</v>
      </c>
      <c r="K28" s="31">
        <f t="shared" si="2"/>
        <v>636</v>
      </c>
      <c r="L28" s="32">
        <f t="shared" si="3"/>
        <v>2244</v>
      </c>
    </row>
    <row r="29" spans="1:12" x14ac:dyDescent="0.2">
      <c r="A29" s="3" t="s">
        <v>11</v>
      </c>
      <c r="B29" s="4" t="s">
        <v>42</v>
      </c>
      <c r="C29" s="4" t="s">
        <v>43</v>
      </c>
      <c r="D29" s="6" t="s">
        <v>16</v>
      </c>
      <c r="E29" s="30">
        <f t="shared" si="0"/>
        <v>120</v>
      </c>
      <c r="F29" s="7">
        <v>4</v>
      </c>
      <c r="G29" s="8">
        <v>93</v>
      </c>
      <c r="H29" s="9">
        <v>5</v>
      </c>
      <c r="I29" s="10">
        <v>350</v>
      </c>
      <c r="J29" s="31">
        <f t="shared" si="1"/>
        <v>2880</v>
      </c>
      <c r="K29" s="31">
        <f t="shared" si="2"/>
        <v>470</v>
      </c>
      <c r="L29" s="32">
        <f t="shared" si="3"/>
        <v>2410</v>
      </c>
    </row>
    <row r="30" spans="1:12" x14ac:dyDescent="0.2">
      <c r="A30" s="3" t="s">
        <v>17</v>
      </c>
      <c r="B30" s="4" t="s">
        <v>42</v>
      </c>
      <c r="C30" s="5" t="s">
        <v>44</v>
      </c>
      <c r="D30" s="6" t="s">
        <v>14</v>
      </c>
      <c r="E30" s="30">
        <f t="shared" si="0"/>
        <v>90</v>
      </c>
      <c r="F30" s="7">
        <v>4</v>
      </c>
      <c r="G30" s="8">
        <v>47</v>
      </c>
      <c r="H30" s="9">
        <v>4</v>
      </c>
      <c r="I30" s="10">
        <v>300</v>
      </c>
      <c r="J30" s="31">
        <f t="shared" si="1"/>
        <v>1080</v>
      </c>
      <c r="K30" s="31">
        <f t="shared" si="2"/>
        <v>348</v>
      </c>
      <c r="L30" s="32">
        <f t="shared" si="3"/>
        <v>732</v>
      </c>
    </row>
    <row r="31" spans="1:12" x14ac:dyDescent="0.2">
      <c r="A31" s="3" t="s">
        <v>22</v>
      </c>
      <c r="B31" s="4" t="s">
        <v>42</v>
      </c>
      <c r="C31" s="5" t="s">
        <v>44</v>
      </c>
      <c r="D31" s="6" t="s">
        <v>14</v>
      </c>
      <c r="E31" s="30">
        <f t="shared" si="0"/>
        <v>90</v>
      </c>
      <c r="F31" s="7">
        <v>4</v>
      </c>
      <c r="G31" s="8">
        <v>44</v>
      </c>
      <c r="H31" s="9">
        <v>5</v>
      </c>
      <c r="I31" s="10">
        <v>250</v>
      </c>
      <c r="J31" s="31">
        <f t="shared" si="1"/>
        <v>990</v>
      </c>
      <c r="K31" s="31">
        <f t="shared" si="2"/>
        <v>305</v>
      </c>
      <c r="L31" s="32">
        <f t="shared" si="3"/>
        <v>685</v>
      </c>
    </row>
  </sheetData>
  <sortState xmlns:xlrd2="http://schemas.microsoft.com/office/spreadsheetml/2017/richdata2" ref="A5:L31">
    <sortCondition ref="C4:C31"/>
  </sortState>
  <mergeCells count="1">
    <mergeCell ref="N1:P1"/>
  </mergeCells>
  <pageMargins left="0.75000000000000011" right="0.75000000000000011" top="1" bottom="1" header="0.5" footer="0.5"/>
  <pageSetup paperSize="9" fitToWidth="0" fitToHeight="0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6FC79-EC49-4A40-BB07-0A22B8D80D90}">
  <dimension ref="A1:P31"/>
  <sheetViews>
    <sheetView tabSelected="1" workbookViewId="0">
      <selection activeCell="S23" sqref="S23"/>
    </sheetView>
  </sheetViews>
  <sheetFormatPr defaultRowHeight="12.75" x14ac:dyDescent="0.2"/>
  <cols>
    <col min="1" max="1" width="10.7109375" customWidth="1"/>
    <col min="2" max="2" width="12.85546875" customWidth="1"/>
    <col min="3" max="3" width="17" customWidth="1"/>
    <col min="4" max="4" width="7.7109375" bestFit="1" customWidth="1"/>
    <col min="5" max="5" width="15.140625" bestFit="1" customWidth="1"/>
    <col min="6" max="8" width="9.140625" customWidth="1"/>
    <col min="9" max="9" width="9.7109375" customWidth="1"/>
    <col min="10" max="10" width="9.140625" customWidth="1"/>
  </cols>
  <sheetData>
    <row r="1" spans="1:16" ht="37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48</v>
      </c>
      <c r="F1" s="2" t="s">
        <v>4</v>
      </c>
      <c r="G1" s="1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  <c r="N1" s="29" t="s">
        <v>45</v>
      </c>
      <c r="O1" s="29"/>
      <c r="P1" s="29"/>
    </row>
    <row r="2" spans="1:16" x14ac:dyDescent="0.2">
      <c r="A2" s="3" t="s">
        <v>11</v>
      </c>
      <c r="B2" s="4" t="s">
        <v>12</v>
      </c>
      <c r="C2" s="5" t="s">
        <v>13</v>
      </c>
      <c r="D2" s="6" t="s">
        <v>14</v>
      </c>
      <c r="E2" s="30">
        <f>VLOOKUP(D2,stawki,3,FALSE)</f>
        <v>90</v>
      </c>
      <c r="F2" s="7">
        <v>5</v>
      </c>
      <c r="G2" s="8">
        <v>64</v>
      </c>
      <c r="H2" s="9">
        <v>4</v>
      </c>
      <c r="I2" s="10">
        <v>350</v>
      </c>
      <c r="J2" s="11"/>
      <c r="K2" s="11"/>
      <c r="L2" s="12"/>
      <c r="O2" t="s">
        <v>46</v>
      </c>
      <c r="P2" t="s">
        <v>47</v>
      </c>
    </row>
    <row r="3" spans="1:16" x14ac:dyDescent="0.2">
      <c r="A3" s="3" t="s">
        <v>17</v>
      </c>
      <c r="B3" s="4" t="s">
        <v>12</v>
      </c>
      <c r="C3" s="5" t="s">
        <v>13</v>
      </c>
      <c r="D3" s="6" t="s">
        <v>14</v>
      </c>
      <c r="E3" s="30">
        <f>VLOOKUP(D3,stawki,3,FALSE)</f>
        <v>90</v>
      </c>
      <c r="F3" s="7">
        <v>5</v>
      </c>
      <c r="G3" s="8">
        <v>55</v>
      </c>
      <c r="H3" s="9">
        <v>4</v>
      </c>
      <c r="I3" s="10">
        <v>300</v>
      </c>
      <c r="J3" s="11"/>
      <c r="K3" s="11"/>
      <c r="L3" s="12"/>
      <c r="N3" s="14" t="s">
        <v>15</v>
      </c>
      <c r="O3" s="14">
        <v>20</v>
      </c>
      <c r="P3" s="14">
        <v>60</v>
      </c>
    </row>
    <row r="4" spans="1:16" x14ac:dyDescent="0.2">
      <c r="A4" s="3" t="s">
        <v>11</v>
      </c>
      <c r="B4" s="4" t="s">
        <v>18</v>
      </c>
      <c r="C4" s="13" t="s">
        <v>19</v>
      </c>
      <c r="D4" s="6" t="s">
        <v>15</v>
      </c>
      <c r="E4" s="30">
        <f>VLOOKUP(D4,stawki,3,FALSE)</f>
        <v>60</v>
      </c>
      <c r="F4" s="7">
        <v>5</v>
      </c>
      <c r="G4" s="8">
        <v>100</v>
      </c>
      <c r="H4" s="9">
        <v>7</v>
      </c>
      <c r="I4" s="10">
        <v>350</v>
      </c>
      <c r="J4" s="11"/>
      <c r="K4" s="11"/>
      <c r="L4" s="12"/>
      <c r="N4" s="14" t="s">
        <v>14</v>
      </c>
      <c r="O4" s="14">
        <v>40</v>
      </c>
      <c r="P4" s="14">
        <v>90</v>
      </c>
    </row>
    <row r="5" spans="1:16" x14ac:dyDescent="0.2">
      <c r="A5" s="3" t="s">
        <v>11</v>
      </c>
      <c r="B5" s="4" t="s">
        <v>20</v>
      </c>
      <c r="C5" s="13" t="s">
        <v>21</v>
      </c>
      <c r="D5" s="6" t="s">
        <v>14</v>
      </c>
      <c r="E5" s="30">
        <f>VLOOKUP(D5,stawki,3,FALSE)</f>
        <v>90</v>
      </c>
      <c r="F5" s="7">
        <v>3</v>
      </c>
      <c r="G5" s="8">
        <v>89</v>
      </c>
      <c r="H5" s="9">
        <v>5</v>
      </c>
      <c r="I5" s="10">
        <v>350</v>
      </c>
      <c r="J5" s="11"/>
      <c r="K5" s="11"/>
      <c r="L5" s="12"/>
      <c r="N5" s="14" t="s">
        <v>16</v>
      </c>
      <c r="O5" s="14">
        <v>80</v>
      </c>
      <c r="P5" s="14">
        <v>120</v>
      </c>
    </row>
    <row r="6" spans="1:16" x14ac:dyDescent="0.2">
      <c r="A6" s="3" t="s">
        <v>22</v>
      </c>
      <c r="B6" s="4" t="s">
        <v>20</v>
      </c>
      <c r="C6" s="13" t="s">
        <v>21</v>
      </c>
      <c r="D6" s="6" t="s">
        <v>14</v>
      </c>
      <c r="E6" s="30">
        <f>VLOOKUP(D6,stawki,3,FALSE)</f>
        <v>90</v>
      </c>
      <c r="F6" s="7">
        <v>3</v>
      </c>
      <c r="G6" s="8">
        <v>52</v>
      </c>
      <c r="H6" s="9">
        <v>5</v>
      </c>
      <c r="I6" s="10">
        <v>250</v>
      </c>
      <c r="J6" s="11"/>
      <c r="K6" s="11"/>
      <c r="L6" s="12"/>
    </row>
    <row r="7" spans="1:16" x14ac:dyDescent="0.2">
      <c r="A7" s="3" t="s">
        <v>17</v>
      </c>
      <c r="B7" s="5" t="s">
        <v>23</v>
      </c>
      <c r="C7" s="5" t="s">
        <v>24</v>
      </c>
      <c r="D7" s="6" t="s">
        <v>15</v>
      </c>
      <c r="E7" s="30">
        <f>VLOOKUP(D7,stawki,3,FALSE)</f>
        <v>60</v>
      </c>
      <c r="F7" s="7">
        <v>6</v>
      </c>
      <c r="G7" s="8">
        <v>48</v>
      </c>
      <c r="H7" s="9">
        <v>4</v>
      </c>
      <c r="I7" s="10">
        <v>300</v>
      </c>
      <c r="J7" s="11"/>
      <c r="K7" s="11"/>
      <c r="L7" s="12"/>
    </row>
    <row r="8" spans="1:16" x14ac:dyDescent="0.2">
      <c r="A8" s="3" t="s">
        <v>11</v>
      </c>
      <c r="B8" s="4" t="s">
        <v>25</v>
      </c>
      <c r="C8" s="13" t="s">
        <v>26</v>
      </c>
      <c r="D8" s="6" t="s">
        <v>16</v>
      </c>
      <c r="E8" s="30">
        <f>VLOOKUP(D8,stawki,3,FALSE)</f>
        <v>120</v>
      </c>
      <c r="F8" s="7">
        <v>6</v>
      </c>
      <c r="G8" s="8">
        <v>44</v>
      </c>
      <c r="H8" s="9">
        <v>4</v>
      </c>
      <c r="I8" s="10">
        <v>350</v>
      </c>
      <c r="J8" s="11"/>
      <c r="K8" s="11"/>
      <c r="L8" s="12"/>
    </row>
    <row r="9" spans="1:16" x14ac:dyDescent="0.2">
      <c r="A9" s="3" t="s">
        <v>17</v>
      </c>
      <c r="B9" s="4" t="s">
        <v>25</v>
      </c>
      <c r="C9" s="13" t="s">
        <v>26</v>
      </c>
      <c r="D9" s="6" t="s">
        <v>16</v>
      </c>
      <c r="E9" s="30">
        <f>VLOOKUP(D9,stawki,3,FALSE)</f>
        <v>120</v>
      </c>
      <c r="F9" s="7">
        <v>6</v>
      </c>
      <c r="G9" s="8">
        <v>36</v>
      </c>
      <c r="H9" s="9">
        <v>4</v>
      </c>
      <c r="I9" s="10">
        <v>300</v>
      </c>
      <c r="J9" s="11"/>
      <c r="K9" s="11"/>
      <c r="L9" s="12"/>
    </row>
    <row r="10" spans="1:16" x14ac:dyDescent="0.2">
      <c r="A10" s="3" t="s">
        <v>22</v>
      </c>
      <c r="B10" s="4" t="s">
        <v>25</v>
      </c>
      <c r="C10" s="13" t="s">
        <v>26</v>
      </c>
      <c r="D10" s="6" t="s">
        <v>16</v>
      </c>
      <c r="E10" s="30">
        <f>VLOOKUP(D10,stawki,3,FALSE)</f>
        <v>120</v>
      </c>
      <c r="F10" s="7">
        <v>6</v>
      </c>
      <c r="G10" s="8">
        <v>59</v>
      </c>
      <c r="H10" s="9">
        <v>4</v>
      </c>
      <c r="I10" s="10">
        <v>250</v>
      </c>
      <c r="J10" s="11"/>
      <c r="K10" s="11"/>
      <c r="L10" s="12"/>
    </row>
    <row r="11" spans="1:16" x14ac:dyDescent="0.2">
      <c r="A11" s="3" t="s">
        <v>17</v>
      </c>
      <c r="B11" s="4" t="s">
        <v>18</v>
      </c>
      <c r="C11" s="13" t="s">
        <v>27</v>
      </c>
      <c r="D11" s="6" t="s">
        <v>16</v>
      </c>
      <c r="E11" s="30">
        <f>VLOOKUP(D11,stawki,3,FALSE)</f>
        <v>120</v>
      </c>
      <c r="F11" s="7">
        <v>5</v>
      </c>
      <c r="G11" s="8">
        <v>85</v>
      </c>
      <c r="H11" s="9">
        <v>6</v>
      </c>
      <c r="I11" s="10">
        <v>300</v>
      </c>
      <c r="J11" s="11"/>
      <c r="K11" s="11"/>
      <c r="L11" s="12"/>
    </row>
    <row r="12" spans="1:16" x14ac:dyDescent="0.2">
      <c r="A12" s="3" t="s">
        <v>22</v>
      </c>
      <c r="B12" s="4" t="s">
        <v>18</v>
      </c>
      <c r="C12" s="13" t="s">
        <v>27</v>
      </c>
      <c r="D12" s="6" t="s">
        <v>16</v>
      </c>
      <c r="E12" s="30">
        <f>VLOOKUP(D12,stawki,3,FALSE)</f>
        <v>120</v>
      </c>
      <c r="F12" s="7">
        <v>5</v>
      </c>
      <c r="G12" s="8">
        <v>75</v>
      </c>
      <c r="H12" s="9">
        <v>5</v>
      </c>
      <c r="I12" s="10">
        <v>250</v>
      </c>
      <c r="J12" s="11"/>
      <c r="K12" s="11"/>
      <c r="L12" s="12"/>
    </row>
    <row r="13" spans="1:16" x14ac:dyDescent="0.2">
      <c r="A13" s="3" t="s">
        <v>17</v>
      </c>
      <c r="B13" s="4" t="s">
        <v>20</v>
      </c>
      <c r="C13" s="13" t="s">
        <v>28</v>
      </c>
      <c r="D13" s="6" t="s">
        <v>15</v>
      </c>
      <c r="E13" s="30">
        <f>VLOOKUP(D13,stawki,3,FALSE)</f>
        <v>60</v>
      </c>
      <c r="F13" s="7">
        <v>3</v>
      </c>
      <c r="G13" s="8">
        <v>62</v>
      </c>
      <c r="H13" s="9">
        <v>5</v>
      </c>
      <c r="I13" s="10">
        <v>300</v>
      </c>
      <c r="J13" s="11"/>
      <c r="K13" s="11"/>
      <c r="L13" s="12"/>
    </row>
    <row r="14" spans="1:16" x14ac:dyDescent="0.2">
      <c r="A14" s="3" t="s">
        <v>11</v>
      </c>
      <c r="B14" s="5" t="s">
        <v>29</v>
      </c>
      <c r="C14" s="5" t="s">
        <v>30</v>
      </c>
      <c r="D14" s="6" t="s">
        <v>14</v>
      </c>
      <c r="E14" s="30">
        <f>VLOOKUP(D14,stawki,3,FALSE)</f>
        <v>90</v>
      </c>
      <c r="F14" s="7">
        <v>5</v>
      </c>
      <c r="G14" s="8">
        <v>66</v>
      </c>
      <c r="H14" s="9">
        <v>5</v>
      </c>
      <c r="I14" s="10">
        <v>350</v>
      </c>
      <c r="J14" s="11"/>
      <c r="K14" s="11"/>
      <c r="L14" s="12"/>
    </row>
    <row r="15" spans="1:16" x14ac:dyDescent="0.2">
      <c r="A15" s="3" t="s">
        <v>17</v>
      </c>
      <c r="B15" s="5" t="s">
        <v>29</v>
      </c>
      <c r="C15" s="5" t="s">
        <v>30</v>
      </c>
      <c r="D15" s="6" t="s">
        <v>14</v>
      </c>
      <c r="E15" s="30">
        <f>VLOOKUP(D15,stawki,3,FALSE)</f>
        <v>90</v>
      </c>
      <c r="F15" s="7">
        <v>5</v>
      </c>
      <c r="G15" s="8">
        <v>57</v>
      </c>
      <c r="H15" s="9">
        <v>5</v>
      </c>
      <c r="I15" s="10">
        <v>300</v>
      </c>
      <c r="J15" s="11"/>
      <c r="K15" s="11"/>
      <c r="L15" s="12"/>
    </row>
    <row r="16" spans="1:16" x14ac:dyDescent="0.2">
      <c r="A16" s="3" t="s">
        <v>22</v>
      </c>
      <c r="B16" s="5" t="s">
        <v>29</v>
      </c>
      <c r="C16" s="5" t="s">
        <v>30</v>
      </c>
      <c r="D16" s="6" t="s">
        <v>14</v>
      </c>
      <c r="E16" s="30">
        <f>VLOOKUP(D16,stawki,3,FALSE)</f>
        <v>90</v>
      </c>
      <c r="F16" s="7">
        <v>5</v>
      </c>
      <c r="G16" s="8">
        <v>104</v>
      </c>
      <c r="H16" s="9">
        <v>5</v>
      </c>
      <c r="I16" s="10">
        <v>250</v>
      </c>
      <c r="J16" s="11"/>
      <c r="K16" s="11"/>
      <c r="L16" s="12"/>
    </row>
    <row r="17" spans="1:12" x14ac:dyDescent="0.2">
      <c r="A17" s="3" t="s">
        <v>11</v>
      </c>
      <c r="B17" s="5" t="s">
        <v>31</v>
      </c>
      <c r="C17" s="13" t="s">
        <v>32</v>
      </c>
      <c r="D17" s="6" t="s">
        <v>14</v>
      </c>
      <c r="E17" s="30">
        <f>VLOOKUP(D17,stawki,3,FALSE)</f>
        <v>90</v>
      </c>
      <c r="F17" s="7">
        <v>4</v>
      </c>
      <c r="G17" s="8">
        <v>211</v>
      </c>
      <c r="H17" s="9">
        <v>5</v>
      </c>
      <c r="I17" s="10">
        <v>350</v>
      </c>
      <c r="J17" s="11"/>
      <c r="K17" s="11"/>
      <c r="L17" s="12"/>
    </row>
    <row r="18" spans="1:12" x14ac:dyDescent="0.2">
      <c r="A18" s="3" t="s">
        <v>17</v>
      </c>
      <c r="B18" s="5" t="s">
        <v>31</v>
      </c>
      <c r="C18" s="13" t="s">
        <v>32</v>
      </c>
      <c r="D18" s="6" t="s">
        <v>14</v>
      </c>
      <c r="E18" s="30">
        <f>VLOOKUP(D18,stawki,3,FALSE)</f>
        <v>90</v>
      </c>
      <c r="F18" s="7">
        <v>4</v>
      </c>
      <c r="G18" s="8">
        <v>245</v>
      </c>
      <c r="H18" s="9">
        <v>4</v>
      </c>
      <c r="I18" s="10">
        <v>300</v>
      </c>
      <c r="J18" s="11"/>
      <c r="K18" s="11"/>
      <c r="L18" s="12"/>
    </row>
    <row r="19" spans="1:12" x14ac:dyDescent="0.2">
      <c r="A19" s="3" t="s">
        <v>22</v>
      </c>
      <c r="B19" s="5" t="s">
        <v>31</v>
      </c>
      <c r="C19" s="5" t="s">
        <v>33</v>
      </c>
      <c r="D19" s="6" t="s">
        <v>16</v>
      </c>
      <c r="E19" s="30">
        <f>VLOOKUP(D19,stawki,3,FALSE)</f>
        <v>120</v>
      </c>
      <c r="F19" s="7">
        <v>4</v>
      </c>
      <c r="G19" s="8">
        <v>155</v>
      </c>
      <c r="H19" s="9">
        <v>5</v>
      </c>
      <c r="I19" s="10">
        <v>250</v>
      </c>
      <c r="J19" s="11"/>
      <c r="K19" s="11"/>
      <c r="L19" s="12"/>
    </row>
    <row r="20" spans="1:12" x14ac:dyDescent="0.2">
      <c r="A20" s="3" t="s">
        <v>11</v>
      </c>
      <c r="B20" s="5" t="s">
        <v>34</v>
      </c>
      <c r="C20" s="5" t="s">
        <v>35</v>
      </c>
      <c r="D20" s="6" t="s">
        <v>15</v>
      </c>
      <c r="E20" s="30">
        <f>VLOOKUP(D20,stawki,3,FALSE)</f>
        <v>60</v>
      </c>
      <c r="F20" s="7">
        <v>3</v>
      </c>
      <c r="G20" s="8">
        <v>96</v>
      </c>
      <c r="H20" s="9">
        <v>5</v>
      </c>
      <c r="I20" s="10">
        <v>350</v>
      </c>
      <c r="J20" s="11"/>
      <c r="K20" s="11"/>
      <c r="L20" s="12"/>
    </row>
    <row r="21" spans="1:12" x14ac:dyDescent="0.2">
      <c r="A21" s="3" t="s">
        <v>17</v>
      </c>
      <c r="B21" s="5" t="s">
        <v>34</v>
      </c>
      <c r="C21" s="5" t="s">
        <v>35</v>
      </c>
      <c r="D21" s="6" t="s">
        <v>15</v>
      </c>
      <c r="E21" s="30">
        <f>VLOOKUP(D21,stawki,3,FALSE)</f>
        <v>60</v>
      </c>
      <c r="F21" s="7">
        <v>3</v>
      </c>
      <c r="G21" s="8">
        <v>105</v>
      </c>
      <c r="H21" s="9">
        <v>5</v>
      </c>
      <c r="I21" s="10">
        <v>300</v>
      </c>
      <c r="J21" s="11"/>
      <c r="K21" s="11"/>
      <c r="L21" s="12"/>
    </row>
    <row r="22" spans="1:12" x14ac:dyDescent="0.2">
      <c r="A22" s="3" t="s">
        <v>22</v>
      </c>
      <c r="B22" s="5" t="s">
        <v>34</v>
      </c>
      <c r="C22" s="5" t="s">
        <v>36</v>
      </c>
      <c r="D22" s="6" t="s">
        <v>14</v>
      </c>
      <c r="E22" s="30">
        <f>VLOOKUP(D22,stawki,3,FALSE)</f>
        <v>90</v>
      </c>
      <c r="F22" s="7">
        <v>3</v>
      </c>
      <c r="G22" s="8">
        <v>165</v>
      </c>
      <c r="H22" s="9">
        <v>5</v>
      </c>
      <c r="I22" s="10">
        <v>250</v>
      </c>
      <c r="J22" s="11"/>
      <c r="K22" s="11"/>
      <c r="L22" s="12"/>
    </row>
    <row r="23" spans="1:12" x14ac:dyDescent="0.2">
      <c r="A23" s="3" t="s">
        <v>22</v>
      </c>
      <c r="B23" s="5" t="s">
        <v>37</v>
      </c>
      <c r="C23" s="5" t="s">
        <v>38</v>
      </c>
      <c r="D23" s="6" t="s">
        <v>15</v>
      </c>
      <c r="E23" s="30">
        <f>VLOOKUP(D23,stawki,3,FALSE)</f>
        <v>60</v>
      </c>
      <c r="F23" s="7">
        <v>4</v>
      </c>
      <c r="G23" s="8">
        <v>187</v>
      </c>
      <c r="H23" s="9">
        <v>6</v>
      </c>
      <c r="I23" s="10">
        <v>250</v>
      </c>
      <c r="J23" s="11"/>
      <c r="K23" s="11"/>
      <c r="L23" s="12"/>
    </row>
    <row r="24" spans="1:12" x14ac:dyDescent="0.2">
      <c r="A24" s="3" t="s">
        <v>11</v>
      </c>
      <c r="B24" s="5" t="s">
        <v>23</v>
      </c>
      <c r="C24" s="5" t="s">
        <v>39</v>
      </c>
      <c r="D24" s="6" t="s">
        <v>15</v>
      </c>
      <c r="E24" s="30">
        <f>VLOOKUP(D24,stawki,3,FALSE)</f>
        <v>60</v>
      </c>
      <c r="F24" s="7">
        <v>6</v>
      </c>
      <c r="G24" s="8">
        <v>51</v>
      </c>
      <c r="H24" s="9">
        <v>4</v>
      </c>
      <c r="I24" s="10">
        <v>350</v>
      </c>
      <c r="J24" s="11"/>
      <c r="K24" s="11"/>
      <c r="L24" s="12"/>
    </row>
    <row r="25" spans="1:12" x14ac:dyDescent="0.2">
      <c r="A25" s="3" t="s">
        <v>22</v>
      </c>
      <c r="B25" s="5" t="s">
        <v>23</v>
      </c>
      <c r="C25" s="5" t="s">
        <v>39</v>
      </c>
      <c r="D25" s="6" t="s">
        <v>15</v>
      </c>
      <c r="E25" s="30">
        <f>VLOOKUP(D25,stawki,3,FALSE)</f>
        <v>60</v>
      </c>
      <c r="F25" s="7">
        <v>6</v>
      </c>
      <c r="G25" s="8">
        <v>98</v>
      </c>
      <c r="H25" s="9">
        <v>4</v>
      </c>
      <c r="I25" s="10">
        <v>250</v>
      </c>
      <c r="J25" s="11"/>
      <c r="K25" s="11"/>
      <c r="L25" s="12"/>
    </row>
    <row r="26" spans="1:12" x14ac:dyDescent="0.2">
      <c r="A26" s="3" t="s">
        <v>22</v>
      </c>
      <c r="B26" s="4" t="s">
        <v>12</v>
      </c>
      <c r="C26" s="5" t="s">
        <v>40</v>
      </c>
      <c r="D26" s="6" t="s">
        <v>16</v>
      </c>
      <c r="E26" s="30">
        <f>VLOOKUP(D26,stawki,3,FALSE)</f>
        <v>120</v>
      </c>
      <c r="F26" s="7">
        <v>5</v>
      </c>
      <c r="G26" s="8">
        <v>68</v>
      </c>
      <c r="H26" s="9">
        <v>4</v>
      </c>
      <c r="I26" s="10">
        <v>250</v>
      </c>
      <c r="J26" s="11"/>
      <c r="K26" s="11"/>
      <c r="L26" s="12"/>
    </row>
    <row r="27" spans="1:12" x14ac:dyDescent="0.2">
      <c r="A27" s="3" t="s">
        <v>11</v>
      </c>
      <c r="B27" s="5" t="s">
        <v>37</v>
      </c>
      <c r="C27" s="13" t="s">
        <v>41</v>
      </c>
      <c r="D27" s="6" t="s">
        <v>15</v>
      </c>
      <c r="E27" s="30">
        <f>VLOOKUP(D27,stawki,3,FALSE)</f>
        <v>60</v>
      </c>
      <c r="F27" s="7">
        <v>4</v>
      </c>
      <c r="G27" s="8">
        <v>105</v>
      </c>
      <c r="H27" s="9">
        <v>7</v>
      </c>
      <c r="I27" s="10">
        <v>350</v>
      </c>
      <c r="J27" s="11"/>
      <c r="K27" s="11"/>
      <c r="L27" s="12"/>
    </row>
    <row r="28" spans="1:12" x14ac:dyDescent="0.2">
      <c r="A28" s="3" t="s">
        <v>17</v>
      </c>
      <c r="B28" s="5" t="s">
        <v>37</v>
      </c>
      <c r="C28" s="13" t="s">
        <v>41</v>
      </c>
      <c r="D28" s="6" t="s">
        <v>15</v>
      </c>
      <c r="E28" s="30">
        <f>VLOOKUP(D28,stawki,3,FALSE)</f>
        <v>60</v>
      </c>
      <c r="F28" s="7">
        <v>4</v>
      </c>
      <c r="G28" s="8">
        <v>189</v>
      </c>
      <c r="H28" s="9">
        <v>7</v>
      </c>
      <c r="I28" s="10">
        <v>300</v>
      </c>
      <c r="J28" s="11"/>
      <c r="K28" s="11"/>
      <c r="L28" s="12"/>
    </row>
    <row r="29" spans="1:12" x14ac:dyDescent="0.2">
      <c r="A29" s="3" t="s">
        <v>11</v>
      </c>
      <c r="B29" s="4" t="s">
        <v>42</v>
      </c>
      <c r="C29" s="4" t="s">
        <v>43</v>
      </c>
      <c r="D29" s="6" t="s">
        <v>16</v>
      </c>
      <c r="E29" s="30">
        <f>VLOOKUP(D29,stawki,3,FALSE)</f>
        <v>120</v>
      </c>
      <c r="F29" s="7">
        <v>4</v>
      </c>
      <c r="G29" s="8">
        <v>93</v>
      </c>
      <c r="H29" s="9">
        <v>5</v>
      </c>
      <c r="I29" s="10">
        <v>350</v>
      </c>
      <c r="J29" s="11"/>
      <c r="K29" s="11"/>
      <c r="L29" s="12"/>
    </row>
    <row r="30" spans="1:12" x14ac:dyDescent="0.2">
      <c r="A30" s="3" t="s">
        <v>17</v>
      </c>
      <c r="B30" s="4" t="s">
        <v>42</v>
      </c>
      <c r="C30" s="5" t="s">
        <v>44</v>
      </c>
      <c r="D30" s="6" t="s">
        <v>14</v>
      </c>
      <c r="E30" s="30">
        <f>VLOOKUP(D30,stawki,3,FALSE)</f>
        <v>90</v>
      </c>
      <c r="F30" s="7">
        <v>4</v>
      </c>
      <c r="G30" s="8">
        <v>47</v>
      </c>
      <c r="H30" s="9">
        <v>4</v>
      </c>
      <c r="I30" s="10">
        <v>300</v>
      </c>
      <c r="J30" s="11"/>
      <c r="K30" s="11"/>
      <c r="L30" s="12"/>
    </row>
    <row r="31" spans="1:12" x14ac:dyDescent="0.2">
      <c r="A31" s="3" t="s">
        <v>22</v>
      </c>
      <c r="B31" s="4" t="s">
        <v>42</v>
      </c>
      <c r="C31" s="5" t="s">
        <v>44</v>
      </c>
      <c r="D31" s="6" t="s">
        <v>14</v>
      </c>
      <c r="E31" s="30">
        <f>VLOOKUP(D31,stawki,3,FALSE)</f>
        <v>90</v>
      </c>
      <c r="F31" s="7">
        <v>4</v>
      </c>
      <c r="G31" s="8">
        <v>44</v>
      </c>
      <c r="H31" s="9">
        <v>5</v>
      </c>
      <c r="I31" s="10">
        <v>250</v>
      </c>
      <c r="J31" s="11"/>
      <c r="K31" s="11"/>
      <c r="L31" s="12"/>
    </row>
  </sheetData>
  <mergeCells count="1">
    <mergeCell ref="N1:P1"/>
  </mergeCells>
  <pageMargins left="0.75000000000000011" right="0.75000000000000011" top="1" bottom="1" header="0.5" footer="0.5"/>
  <pageSetup paperSize="9" fitToWidth="0" fitToHeight="0" orientation="portrait" horizontalDpi="1200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ECBAF-DB1C-45C6-917C-ED839E47F46D}">
  <dimension ref="A1:P7"/>
  <sheetViews>
    <sheetView workbookViewId="0">
      <selection activeCell="N15" sqref="N15"/>
    </sheetView>
  </sheetViews>
  <sheetFormatPr defaultRowHeight="12.75" x14ac:dyDescent="0.2"/>
  <cols>
    <col min="1" max="1" width="10.7109375" customWidth="1"/>
    <col min="2" max="2" width="12.85546875" customWidth="1"/>
    <col min="3" max="3" width="17" customWidth="1"/>
    <col min="4" max="4" width="7.7109375" bestFit="1" customWidth="1"/>
    <col min="5" max="5" width="23" customWidth="1"/>
    <col min="6" max="8" width="9.140625" customWidth="1"/>
    <col min="9" max="9" width="9.7109375" customWidth="1"/>
    <col min="10" max="10" width="9.140625" customWidth="1"/>
  </cols>
  <sheetData>
    <row r="1" spans="1:16" ht="37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48</v>
      </c>
      <c r="F1" s="2" t="s">
        <v>4</v>
      </c>
      <c r="G1" s="1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  <c r="N1" s="29" t="s">
        <v>45</v>
      </c>
      <c r="O1" s="29"/>
      <c r="P1" s="29"/>
    </row>
    <row r="2" spans="1:16" x14ac:dyDescent="0.2">
      <c r="A2" s="3" t="s">
        <v>11</v>
      </c>
      <c r="B2" s="4" t="s">
        <v>12</v>
      </c>
      <c r="C2" s="5" t="s">
        <v>13</v>
      </c>
      <c r="D2" s="6"/>
      <c r="E2" s="7" t="e">
        <f>VLOOKUP(D2,$N$3:$P$5,3,0)</f>
        <v>#N/A</v>
      </c>
      <c r="F2" s="7">
        <v>5</v>
      </c>
      <c r="G2" s="8">
        <v>64</v>
      </c>
      <c r="H2" s="9">
        <v>4</v>
      </c>
      <c r="I2" s="10">
        <v>350</v>
      </c>
      <c r="J2" s="11"/>
      <c r="K2" s="11"/>
      <c r="L2" s="12"/>
      <c r="O2" t="s">
        <v>46</v>
      </c>
      <c r="P2" t="s">
        <v>47</v>
      </c>
    </row>
    <row r="3" spans="1:16" x14ac:dyDescent="0.2">
      <c r="A3" s="3" t="s">
        <v>17</v>
      </c>
      <c r="B3" s="4" t="s">
        <v>12</v>
      </c>
      <c r="C3" s="5" t="s">
        <v>13</v>
      </c>
      <c r="D3" s="6"/>
      <c r="E3" s="7" t="e">
        <f t="shared" ref="E3:E7" si="0">VLOOKUP(D3,$N$3:$P$5,3,0)</f>
        <v>#N/A</v>
      </c>
      <c r="F3" s="7">
        <v>5</v>
      </c>
      <c r="G3" s="8">
        <v>55</v>
      </c>
      <c r="H3" s="9">
        <v>4</v>
      </c>
      <c r="I3" s="10">
        <v>300</v>
      </c>
      <c r="J3" s="11"/>
      <c r="K3" s="11"/>
      <c r="L3" s="12"/>
      <c r="N3" s="14" t="s">
        <v>15</v>
      </c>
      <c r="O3" s="14">
        <v>20</v>
      </c>
      <c r="P3" s="14">
        <v>60</v>
      </c>
    </row>
    <row r="4" spans="1:16" x14ac:dyDescent="0.2">
      <c r="A4" s="3" t="s">
        <v>11</v>
      </c>
      <c r="B4" s="4" t="s">
        <v>18</v>
      </c>
      <c r="C4" s="13" t="s">
        <v>19</v>
      </c>
      <c r="D4" s="6"/>
      <c r="E4" s="7" t="e">
        <f t="shared" si="0"/>
        <v>#N/A</v>
      </c>
      <c r="F4" s="7">
        <v>5</v>
      </c>
      <c r="G4" s="8">
        <v>100</v>
      </c>
      <c r="H4" s="9">
        <v>7</v>
      </c>
      <c r="I4" s="10">
        <v>350</v>
      </c>
      <c r="J4" s="11"/>
      <c r="K4" s="11"/>
      <c r="L4" s="12"/>
      <c r="N4" s="14" t="s">
        <v>14</v>
      </c>
      <c r="O4" s="14">
        <v>40</v>
      </c>
      <c r="P4" s="14">
        <v>90</v>
      </c>
    </row>
    <row r="5" spans="1:16" x14ac:dyDescent="0.2">
      <c r="A5" s="3" t="s">
        <v>11</v>
      </c>
      <c r="B5" s="4" t="s">
        <v>20</v>
      </c>
      <c r="C5" s="13" t="s">
        <v>21</v>
      </c>
      <c r="D5" s="6"/>
      <c r="E5" s="7" t="e">
        <f t="shared" si="0"/>
        <v>#N/A</v>
      </c>
      <c r="F5" s="7">
        <v>3</v>
      </c>
      <c r="G5" s="8">
        <v>89</v>
      </c>
      <c r="H5" s="9">
        <v>5</v>
      </c>
      <c r="I5" s="10">
        <v>350</v>
      </c>
      <c r="J5" s="11"/>
      <c r="K5" s="11"/>
      <c r="L5" s="12"/>
      <c r="N5" s="14" t="s">
        <v>16</v>
      </c>
      <c r="O5" s="14">
        <v>80</v>
      </c>
      <c r="P5" s="14">
        <v>120</v>
      </c>
    </row>
    <row r="6" spans="1:16" x14ac:dyDescent="0.2">
      <c r="A6" s="3" t="s">
        <v>22</v>
      </c>
      <c r="B6" s="4" t="s">
        <v>20</v>
      </c>
      <c r="C6" s="13" t="s">
        <v>21</v>
      </c>
      <c r="D6" s="6"/>
      <c r="E6" s="7" t="e">
        <f t="shared" si="0"/>
        <v>#N/A</v>
      </c>
      <c r="F6" s="7">
        <v>3</v>
      </c>
      <c r="G6" s="8">
        <v>52</v>
      </c>
      <c r="H6" s="9">
        <v>5</v>
      </c>
      <c r="I6" s="10">
        <v>250</v>
      </c>
      <c r="J6" s="11"/>
      <c r="K6" s="11"/>
      <c r="L6" s="12"/>
    </row>
    <row r="7" spans="1:16" x14ac:dyDescent="0.2">
      <c r="A7" s="3" t="s">
        <v>17</v>
      </c>
      <c r="B7" s="5" t="s">
        <v>23</v>
      </c>
      <c r="C7" s="5" t="s">
        <v>24</v>
      </c>
      <c r="D7" s="6"/>
      <c r="E7" s="7" t="e">
        <f t="shared" si="0"/>
        <v>#N/A</v>
      </c>
      <c r="F7" s="7">
        <v>6</v>
      </c>
      <c r="G7" s="8">
        <v>48</v>
      </c>
      <c r="H7" s="9">
        <v>4</v>
      </c>
      <c r="I7" s="10">
        <v>300</v>
      </c>
      <c r="J7" s="11"/>
      <c r="K7" s="11"/>
      <c r="L7" s="12"/>
    </row>
  </sheetData>
  <mergeCells count="1">
    <mergeCell ref="N1:P1"/>
  </mergeCells>
  <pageMargins left="0.75000000000000011" right="0.75000000000000011" top="1" bottom="1" header="0.5" footer="0.5"/>
  <pageSetup paperSize="9" fitToWidth="0" fitToHeight="0" orientation="portrait" horizontalDpi="12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D0FC4-F0C1-4541-A685-A627D509ABFF}">
  <dimension ref="B2:G10"/>
  <sheetViews>
    <sheetView workbookViewId="0">
      <selection activeCell="G3" sqref="G3"/>
    </sheetView>
  </sheetViews>
  <sheetFormatPr defaultRowHeight="12.75" x14ac:dyDescent="0.2"/>
  <cols>
    <col min="2" max="2" width="9" bestFit="1" customWidth="1"/>
    <col min="3" max="3" width="16.28515625" customWidth="1"/>
    <col min="4" max="4" width="17.7109375" customWidth="1"/>
    <col min="5" max="5" width="23.28515625" customWidth="1"/>
  </cols>
  <sheetData>
    <row r="2" spans="2:7" ht="26.25" x14ac:dyDescent="0.25">
      <c r="B2" s="23" t="s">
        <v>49</v>
      </c>
      <c r="C2" s="21" t="s">
        <v>50</v>
      </c>
      <c r="D2" s="21" t="s">
        <v>51</v>
      </c>
      <c r="E2" s="23" t="s">
        <v>52</v>
      </c>
      <c r="F2" s="17"/>
      <c r="G2" s="21" t="s">
        <v>53</v>
      </c>
    </row>
    <row r="3" spans="2:7" ht="15" x14ac:dyDescent="0.25">
      <c r="B3" s="18" t="s">
        <v>54</v>
      </c>
      <c r="C3" s="19">
        <v>65</v>
      </c>
      <c r="D3" s="19">
        <v>5</v>
      </c>
      <c r="E3" s="20"/>
      <c r="F3" s="17"/>
      <c r="G3" s="25">
        <v>3.71</v>
      </c>
    </row>
    <row r="4" spans="2:7" ht="15" x14ac:dyDescent="0.25">
      <c r="B4" s="18" t="s">
        <v>55</v>
      </c>
      <c r="C4" s="19">
        <v>72</v>
      </c>
      <c r="D4" s="19">
        <v>5</v>
      </c>
      <c r="E4" s="20"/>
      <c r="F4" s="17"/>
      <c r="G4" s="26"/>
    </row>
    <row r="5" spans="2:7" ht="15" x14ac:dyDescent="0.25">
      <c r="B5" s="18"/>
      <c r="C5" s="19"/>
      <c r="D5" s="19">
        <v>5</v>
      </c>
      <c r="E5" s="20"/>
      <c r="F5" s="17"/>
      <c r="G5" s="17"/>
    </row>
    <row r="6" spans="2:7" ht="15" x14ac:dyDescent="0.25">
      <c r="B6" s="18"/>
      <c r="C6" s="19"/>
      <c r="D6" s="19">
        <v>5.0999999999999996</v>
      </c>
      <c r="E6" s="20"/>
      <c r="F6" s="17"/>
      <c r="G6" s="17"/>
    </row>
    <row r="7" spans="2:7" ht="15" x14ac:dyDescent="0.25">
      <c r="B7" s="18"/>
      <c r="C7" s="19"/>
      <c r="D7" s="19">
        <v>5.2</v>
      </c>
      <c r="E7" s="20"/>
      <c r="F7" s="17"/>
      <c r="G7" s="17"/>
    </row>
    <row r="8" spans="2:7" ht="15" x14ac:dyDescent="0.25">
      <c r="B8" s="18"/>
      <c r="C8" s="19"/>
      <c r="D8" s="19">
        <v>5.2</v>
      </c>
      <c r="E8" s="20"/>
      <c r="F8" s="17"/>
      <c r="G8" s="17"/>
    </row>
    <row r="9" spans="2:7" ht="15" x14ac:dyDescent="0.25">
      <c r="B9" s="18"/>
      <c r="C9" s="19"/>
      <c r="D9" s="19">
        <v>5.2</v>
      </c>
      <c r="E9" s="20"/>
      <c r="F9" s="17"/>
      <c r="G9" s="17"/>
    </row>
    <row r="10" spans="2:7" ht="15" x14ac:dyDescent="0.25">
      <c r="B10" s="21" t="s">
        <v>56</v>
      </c>
      <c r="C10" s="22"/>
      <c r="D10" s="19" t="s">
        <v>57</v>
      </c>
      <c r="E10" s="24"/>
      <c r="F10" s="17"/>
      <c r="G10" s="17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B4E48-40F8-4CD0-BA4A-0A0894C9CDB4}">
  <dimension ref="B3:B5"/>
  <sheetViews>
    <sheetView workbookViewId="0">
      <selection activeCell="C5" sqref="C5"/>
    </sheetView>
  </sheetViews>
  <sheetFormatPr defaultRowHeight="12.75" x14ac:dyDescent="0.2"/>
  <cols>
    <col min="2" max="2" width="12.85546875" customWidth="1"/>
    <col min="3" max="3" width="33.140625" customWidth="1"/>
  </cols>
  <sheetData>
    <row r="3" spans="2:2" x14ac:dyDescent="0.2">
      <c r="B3" t="s">
        <v>368</v>
      </c>
    </row>
    <row r="5" spans="2:2" x14ac:dyDescent="0.2">
      <c r="B5" t="s">
        <v>369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214EE-1DAA-4AF6-A2E4-C5B16C7627BE}">
  <dimension ref="A1:E101"/>
  <sheetViews>
    <sheetView topLeftCell="A70" workbookViewId="0">
      <selection activeCell="F14" sqref="F14"/>
    </sheetView>
  </sheetViews>
  <sheetFormatPr defaultRowHeight="12.75" x14ac:dyDescent="0.2"/>
  <cols>
    <col min="1" max="1" width="13.42578125" bestFit="1" customWidth="1"/>
    <col min="2" max="2" width="11.140625" bestFit="1" customWidth="1"/>
    <col min="3" max="3" width="18.5703125" bestFit="1" customWidth="1"/>
    <col min="4" max="4" width="13.28515625" bestFit="1" customWidth="1"/>
    <col min="5" max="5" width="24.5703125" customWidth="1"/>
  </cols>
  <sheetData>
    <row r="1" spans="1:5" ht="13.5" thickBot="1" x14ac:dyDescent="0.25">
      <c r="A1" s="16" t="s">
        <v>58</v>
      </c>
      <c r="B1" s="16" t="s">
        <v>59</v>
      </c>
      <c r="C1" s="16" t="s">
        <v>60</v>
      </c>
      <c r="D1" s="16" t="s">
        <v>61</v>
      </c>
      <c r="E1" s="15" t="s">
        <v>370</v>
      </c>
    </row>
    <row r="2" spans="1:5" x14ac:dyDescent="0.2">
      <c r="A2" t="s">
        <v>90</v>
      </c>
      <c r="B2" t="s">
        <v>91</v>
      </c>
      <c r="C2" t="s">
        <v>92</v>
      </c>
      <c r="D2" t="s">
        <v>93</v>
      </c>
      <c r="E2" t="str">
        <f>A2&amp;" "&amp;B2</f>
        <v>Adamczyk Marta</v>
      </c>
    </row>
    <row r="3" spans="1:5" x14ac:dyDescent="0.2">
      <c r="A3" t="s">
        <v>171</v>
      </c>
      <c r="B3" t="s">
        <v>168</v>
      </c>
      <c r="C3" t="s">
        <v>172</v>
      </c>
      <c r="D3" t="s">
        <v>173</v>
      </c>
      <c r="E3" t="str">
        <f t="shared" ref="E3:E66" si="0">A3&amp;" "&amp;B3</f>
        <v>Bartoszewska Agnieszka</v>
      </c>
    </row>
    <row r="4" spans="1:5" x14ac:dyDescent="0.2">
      <c r="A4" t="s">
        <v>241</v>
      </c>
      <c r="B4" t="s">
        <v>95</v>
      </c>
      <c r="C4" t="s">
        <v>68</v>
      </c>
      <c r="D4" t="s">
        <v>242</v>
      </c>
      <c r="E4" t="str">
        <f t="shared" si="0"/>
        <v>Bednarski Marcin</v>
      </c>
    </row>
    <row r="5" spans="1:5" x14ac:dyDescent="0.2">
      <c r="A5" t="s">
        <v>251</v>
      </c>
      <c r="B5" t="s">
        <v>149</v>
      </c>
      <c r="C5" t="s">
        <v>252</v>
      </c>
      <c r="D5" t="s">
        <v>253</v>
      </c>
      <c r="E5" t="str">
        <f t="shared" si="0"/>
        <v>Białkowski Piotr</v>
      </c>
    </row>
    <row r="6" spans="1:5" x14ac:dyDescent="0.2">
      <c r="A6" t="s">
        <v>142</v>
      </c>
      <c r="B6" t="s">
        <v>143</v>
      </c>
      <c r="C6" t="s">
        <v>68</v>
      </c>
      <c r="D6" t="s">
        <v>144</v>
      </c>
      <c r="E6" t="str">
        <f t="shared" si="0"/>
        <v>Błazik Sławomir</v>
      </c>
    </row>
    <row r="7" spans="1:5" x14ac:dyDescent="0.2">
      <c r="A7" t="s">
        <v>83</v>
      </c>
      <c r="B7" t="s">
        <v>84</v>
      </c>
      <c r="C7" t="s">
        <v>68</v>
      </c>
      <c r="D7" t="s">
        <v>85</v>
      </c>
      <c r="E7" t="str">
        <f t="shared" si="0"/>
        <v>Budner Jacek</v>
      </c>
    </row>
    <row r="8" spans="1:5" x14ac:dyDescent="0.2">
      <c r="A8" t="s">
        <v>266</v>
      </c>
      <c r="B8" t="s">
        <v>267</v>
      </c>
      <c r="C8" t="s">
        <v>268</v>
      </c>
      <c r="D8" t="s">
        <v>269</v>
      </c>
      <c r="E8" t="str">
        <f t="shared" si="0"/>
        <v>Burno Adam</v>
      </c>
    </row>
    <row r="9" spans="1:5" x14ac:dyDescent="0.2">
      <c r="A9" t="s">
        <v>309</v>
      </c>
      <c r="B9" t="s">
        <v>168</v>
      </c>
      <c r="C9" t="s">
        <v>310</v>
      </c>
      <c r="D9" t="s">
        <v>311</v>
      </c>
      <c r="E9" t="str">
        <f t="shared" si="0"/>
        <v>Chojecka Agnieszka</v>
      </c>
    </row>
    <row r="10" spans="1:5" x14ac:dyDescent="0.2">
      <c r="A10" t="s">
        <v>342</v>
      </c>
      <c r="B10" t="s">
        <v>224</v>
      </c>
      <c r="C10" t="s">
        <v>258</v>
      </c>
      <c r="D10" t="s">
        <v>343</v>
      </c>
      <c r="E10" t="str">
        <f t="shared" si="0"/>
        <v>Ciechomski Arkadiusz</v>
      </c>
    </row>
    <row r="11" spans="1:5" x14ac:dyDescent="0.2">
      <c r="A11" t="s">
        <v>298</v>
      </c>
      <c r="B11" t="s">
        <v>182</v>
      </c>
      <c r="C11" t="s">
        <v>299</v>
      </c>
      <c r="D11" t="s">
        <v>300</v>
      </c>
      <c r="E11" t="str">
        <f t="shared" si="0"/>
        <v>Cywiński Paweł</v>
      </c>
    </row>
    <row r="12" spans="1:5" x14ac:dyDescent="0.2">
      <c r="A12" t="s">
        <v>243</v>
      </c>
      <c r="B12" t="s">
        <v>244</v>
      </c>
      <c r="C12" t="s">
        <v>196</v>
      </c>
      <c r="D12" t="s">
        <v>245</v>
      </c>
      <c r="E12" t="str">
        <f t="shared" si="0"/>
        <v>Czapigo Mariola</v>
      </c>
    </row>
    <row r="13" spans="1:5" x14ac:dyDescent="0.2">
      <c r="A13" t="s">
        <v>353</v>
      </c>
      <c r="B13" t="s">
        <v>67</v>
      </c>
      <c r="C13" t="s">
        <v>68</v>
      </c>
      <c r="D13" t="s">
        <v>354</v>
      </c>
      <c r="E13" t="str">
        <f t="shared" si="0"/>
        <v>Czułek Łukasz</v>
      </c>
    </row>
    <row r="14" spans="1:5" x14ac:dyDescent="0.2">
      <c r="A14" t="s">
        <v>301</v>
      </c>
      <c r="B14" t="s">
        <v>67</v>
      </c>
      <c r="C14" t="s">
        <v>68</v>
      </c>
      <c r="D14" t="s">
        <v>302</v>
      </c>
      <c r="E14" t="str">
        <f t="shared" si="0"/>
        <v>Denisiewicz Łukasz</v>
      </c>
    </row>
    <row r="15" spans="1:5" x14ac:dyDescent="0.2">
      <c r="A15" t="s">
        <v>358</v>
      </c>
      <c r="B15" t="s">
        <v>182</v>
      </c>
      <c r="C15" t="s">
        <v>68</v>
      </c>
      <c r="D15" t="s">
        <v>359</v>
      </c>
      <c r="E15" t="str">
        <f t="shared" si="0"/>
        <v>Dębowski Paweł</v>
      </c>
    </row>
    <row r="16" spans="1:5" x14ac:dyDescent="0.2">
      <c r="A16" t="s">
        <v>365</v>
      </c>
      <c r="B16" t="s">
        <v>283</v>
      </c>
      <c r="C16" t="s">
        <v>366</v>
      </c>
      <c r="D16" t="s">
        <v>367</v>
      </c>
      <c r="E16" t="str">
        <f t="shared" si="0"/>
        <v>Dunajewski Krzysztof</v>
      </c>
    </row>
    <row r="17" spans="1:5" x14ac:dyDescent="0.2">
      <c r="A17" t="s">
        <v>66</v>
      </c>
      <c r="B17" t="s">
        <v>67</v>
      </c>
      <c r="C17" t="s">
        <v>68</v>
      </c>
      <c r="D17" t="s">
        <v>69</v>
      </c>
      <c r="E17" t="str">
        <f t="shared" si="0"/>
        <v>Durzyński Łukasz</v>
      </c>
    </row>
    <row r="18" spans="1:5" x14ac:dyDescent="0.2">
      <c r="A18" t="s">
        <v>108</v>
      </c>
      <c r="B18" t="s">
        <v>109</v>
      </c>
      <c r="C18" t="s">
        <v>110</v>
      </c>
      <c r="D18" t="s">
        <v>111</v>
      </c>
      <c r="E18" t="str">
        <f t="shared" si="0"/>
        <v>Dziergowska Dorota</v>
      </c>
    </row>
    <row r="19" spans="1:5" x14ac:dyDescent="0.2">
      <c r="A19" t="s">
        <v>145</v>
      </c>
      <c r="B19" t="s">
        <v>146</v>
      </c>
      <c r="C19" t="s">
        <v>68</v>
      </c>
      <c r="D19" t="s">
        <v>147</v>
      </c>
      <c r="E19" t="str">
        <f t="shared" si="0"/>
        <v>Fabijańczyk Darlena</v>
      </c>
    </row>
    <row r="20" spans="1:5" x14ac:dyDescent="0.2">
      <c r="A20" t="s">
        <v>117</v>
      </c>
      <c r="B20" t="s">
        <v>118</v>
      </c>
      <c r="C20" t="s">
        <v>119</v>
      </c>
      <c r="D20" t="s">
        <v>120</v>
      </c>
      <c r="E20" t="str">
        <f t="shared" si="0"/>
        <v>Feliga-Ampt Barbara</v>
      </c>
    </row>
    <row r="21" spans="1:5" x14ac:dyDescent="0.2">
      <c r="A21" t="s">
        <v>165</v>
      </c>
      <c r="B21" t="s">
        <v>99</v>
      </c>
      <c r="C21" t="s">
        <v>68</v>
      </c>
      <c r="D21" t="s">
        <v>166</v>
      </c>
      <c r="E21" t="str">
        <f t="shared" si="0"/>
        <v>Filipiak Rafał</v>
      </c>
    </row>
    <row r="22" spans="1:5" x14ac:dyDescent="0.2">
      <c r="A22" t="s">
        <v>321</v>
      </c>
      <c r="B22" t="s">
        <v>283</v>
      </c>
      <c r="C22" t="s">
        <v>322</v>
      </c>
      <c r="D22" t="s">
        <v>323</v>
      </c>
      <c r="E22" t="str">
        <f t="shared" si="0"/>
        <v>Flakowski Krzysztof</v>
      </c>
    </row>
    <row r="23" spans="1:5" x14ac:dyDescent="0.2">
      <c r="A23" t="s">
        <v>192</v>
      </c>
      <c r="B23" t="s">
        <v>193</v>
      </c>
      <c r="C23" t="s">
        <v>68</v>
      </c>
      <c r="D23" t="s">
        <v>194</v>
      </c>
      <c r="E23" t="str">
        <f t="shared" si="0"/>
        <v>Franaszek Halina</v>
      </c>
    </row>
    <row r="24" spans="1:5" x14ac:dyDescent="0.2">
      <c r="A24" t="s">
        <v>114</v>
      </c>
      <c r="B24" t="s">
        <v>115</v>
      </c>
      <c r="C24" t="s">
        <v>68</v>
      </c>
      <c r="D24" t="s">
        <v>116</v>
      </c>
      <c r="E24" t="str">
        <f t="shared" si="0"/>
        <v>Gadzińska Magdalena</v>
      </c>
    </row>
    <row r="25" spans="1:5" x14ac:dyDescent="0.2">
      <c r="A25" t="s">
        <v>276</v>
      </c>
      <c r="B25" t="s">
        <v>277</v>
      </c>
      <c r="C25" t="s">
        <v>68</v>
      </c>
      <c r="D25" t="s">
        <v>278</v>
      </c>
      <c r="E25" t="str">
        <f t="shared" si="0"/>
        <v>Gałuszewski Wojciech</v>
      </c>
    </row>
    <row r="26" spans="1:5" x14ac:dyDescent="0.2">
      <c r="A26" t="s">
        <v>316</v>
      </c>
      <c r="B26" t="s">
        <v>283</v>
      </c>
      <c r="C26" t="s">
        <v>317</v>
      </c>
      <c r="D26" t="s">
        <v>318</v>
      </c>
      <c r="E26" t="str">
        <f t="shared" si="0"/>
        <v>Ganczarski Krzysztof</v>
      </c>
    </row>
    <row r="27" spans="1:5" x14ac:dyDescent="0.2">
      <c r="A27" t="s">
        <v>152</v>
      </c>
      <c r="B27" t="s">
        <v>153</v>
      </c>
      <c r="C27" t="s">
        <v>154</v>
      </c>
      <c r="D27" t="s">
        <v>155</v>
      </c>
      <c r="E27" t="str">
        <f t="shared" si="0"/>
        <v>Goryniak Dariusz</v>
      </c>
    </row>
    <row r="28" spans="1:5" x14ac:dyDescent="0.2">
      <c r="A28" t="s">
        <v>227</v>
      </c>
      <c r="B28" t="s">
        <v>84</v>
      </c>
      <c r="C28" t="s">
        <v>68</v>
      </c>
      <c r="D28" t="s">
        <v>228</v>
      </c>
      <c r="E28" t="str">
        <f t="shared" si="0"/>
        <v>Gostyński Jacek</v>
      </c>
    </row>
    <row r="29" spans="1:5" x14ac:dyDescent="0.2">
      <c r="A29" t="s">
        <v>314</v>
      </c>
      <c r="B29" t="s">
        <v>63</v>
      </c>
      <c r="C29" t="s">
        <v>179</v>
      </c>
      <c r="D29" t="s">
        <v>315</v>
      </c>
      <c r="E29" t="str">
        <f t="shared" si="0"/>
        <v>Ignasiak Katarzyna</v>
      </c>
    </row>
    <row r="30" spans="1:5" x14ac:dyDescent="0.2">
      <c r="A30" t="s">
        <v>167</v>
      </c>
      <c r="B30" t="s">
        <v>168</v>
      </c>
      <c r="C30" t="s">
        <v>169</v>
      </c>
      <c r="D30" t="s">
        <v>170</v>
      </c>
      <c r="E30" t="str">
        <f t="shared" si="0"/>
        <v>Izak  Agnieszka</v>
      </c>
    </row>
    <row r="31" spans="1:5" x14ac:dyDescent="0.2">
      <c r="A31" t="s">
        <v>233</v>
      </c>
      <c r="B31" t="s">
        <v>234</v>
      </c>
      <c r="C31" t="s">
        <v>68</v>
      </c>
      <c r="D31" t="s">
        <v>235</v>
      </c>
      <c r="E31" t="str">
        <f t="shared" si="0"/>
        <v>Jabłoński Daniel</v>
      </c>
    </row>
    <row r="32" spans="1:5" x14ac:dyDescent="0.2">
      <c r="A32" t="s">
        <v>98</v>
      </c>
      <c r="B32" t="s">
        <v>99</v>
      </c>
      <c r="C32" t="s">
        <v>100</v>
      </c>
      <c r="D32" t="s">
        <v>101</v>
      </c>
      <c r="E32" t="str">
        <f t="shared" si="0"/>
        <v>Jaroń Rafał</v>
      </c>
    </row>
    <row r="33" spans="1:5" x14ac:dyDescent="0.2">
      <c r="A33" t="s">
        <v>279</v>
      </c>
      <c r="B33" t="s">
        <v>280</v>
      </c>
      <c r="C33" t="s">
        <v>68</v>
      </c>
      <c r="D33" t="s">
        <v>281</v>
      </c>
      <c r="E33" t="str">
        <f t="shared" si="0"/>
        <v>Jaskulski Nikodem</v>
      </c>
    </row>
    <row r="34" spans="1:5" x14ac:dyDescent="0.2">
      <c r="A34" t="s">
        <v>229</v>
      </c>
      <c r="B34" t="s">
        <v>230</v>
      </c>
      <c r="C34" t="s">
        <v>231</v>
      </c>
      <c r="D34" t="s">
        <v>232</v>
      </c>
      <c r="E34" t="str">
        <f t="shared" si="0"/>
        <v>Jaworska Karolina</v>
      </c>
    </row>
    <row r="35" spans="1:5" x14ac:dyDescent="0.2">
      <c r="A35" t="s">
        <v>262</v>
      </c>
      <c r="B35" t="s">
        <v>263</v>
      </c>
      <c r="C35" t="s">
        <v>264</v>
      </c>
      <c r="D35" t="s">
        <v>265</v>
      </c>
      <c r="E35" t="str">
        <f t="shared" si="0"/>
        <v>Jażdżyk Dominik</v>
      </c>
    </row>
    <row r="36" spans="1:5" x14ac:dyDescent="0.2">
      <c r="A36" t="s">
        <v>273</v>
      </c>
      <c r="B36" t="s">
        <v>137</v>
      </c>
      <c r="C36" t="s">
        <v>274</v>
      </c>
      <c r="D36" t="s">
        <v>275</v>
      </c>
      <c r="E36" t="str">
        <f t="shared" si="0"/>
        <v>Kaczmarczyk Wioletta</v>
      </c>
    </row>
    <row r="37" spans="1:5" x14ac:dyDescent="0.2">
      <c r="A37" t="s">
        <v>62</v>
      </c>
      <c r="B37" t="s">
        <v>63</v>
      </c>
      <c r="C37" t="s">
        <v>64</v>
      </c>
      <c r="D37" t="s">
        <v>65</v>
      </c>
      <c r="E37" t="str">
        <f t="shared" si="0"/>
        <v>Kijowska Katarzyna</v>
      </c>
    </row>
    <row r="38" spans="1:5" x14ac:dyDescent="0.2">
      <c r="A38" t="s">
        <v>305</v>
      </c>
      <c r="B38" t="s">
        <v>306</v>
      </c>
      <c r="C38" t="s">
        <v>307</v>
      </c>
      <c r="D38" t="s">
        <v>308</v>
      </c>
      <c r="E38" t="str">
        <f t="shared" si="0"/>
        <v>Kisiołek Bogdan</v>
      </c>
    </row>
    <row r="39" spans="1:5" x14ac:dyDescent="0.2">
      <c r="A39" t="s">
        <v>215</v>
      </c>
      <c r="B39" t="s">
        <v>216</v>
      </c>
      <c r="C39" t="s">
        <v>217</v>
      </c>
      <c r="D39" t="s">
        <v>218</v>
      </c>
      <c r="E39" t="str">
        <f t="shared" si="0"/>
        <v>Kitajewski Szczepan</v>
      </c>
    </row>
    <row r="40" spans="1:5" x14ac:dyDescent="0.2">
      <c r="A40" t="s">
        <v>219</v>
      </c>
      <c r="B40" t="s">
        <v>220</v>
      </c>
      <c r="C40" t="s">
        <v>221</v>
      </c>
      <c r="D40" t="s">
        <v>222</v>
      </c>
      <c r="E40" t="str">
        <f t="shared" si="0"/>
        <v>Klimczak Tomasz</v>
      </c>
    </row>
    <row r="41" spans="1:5" x14ac:dyDescent="0.2">
      <c r="A41" t="s">
        <v>282</v>
      </c>
      <c r="B41" t="s">
        <v>283</v>
      </c>
      <c r="C41" t="s">
        <v>68</v>
      </c>
      <c r="D41" t="s">
        <v>284</v>
      </c>
      <c r="E41" t="str">
        <f t="shared" si="0"/>
        <v>Klocek Krzysztof</v>
      </c>
    </row>
    <row r="42" spans="1:5" x14ac:dyDescent="0.2">
      <c r="A42" t="s">
        <v>204</v>
      </c>
      <c r="B42" t="s">
        <v>178</v>
      </c>
      <c r="C42" t="s">
        <v>205</v>
      </c>
      <c r="D42" t="s">
        <v>206</v>
      </c>
      <c r="E42" t="str">
        <f t="shared" si="0"/>
        <v>Kopeć Radosław</v>
      </c>
    </row>
    <row r="43" spans="1:5" x14ac:dyDescent="0.2">
      <c r="A43" t="s">
        <v>121</v>
      </c>
      <c r="B43" t="s">
        <v>122</v>
      </c>
      <c r="C43" t="s">
        <v>68</v>
      </c>
      <c r="D43" t="s">
        <v>123</v>
      </c>
      <c r="E43" t="str">
        <f t="shared" si="0"/>
        <v>Kotowski Mariusz</v>
      </c>
    </row>
    <row r="44" spans="1:5" x14ac:dyDescent="0.2">
      <c r="A44" t="s">
        <v>181</v>
      </c>
      <c r="B44" t="s">
        <v>182</v>
      </c>
      <c r="C44" t="s">
        <v>183</v>
      </c>
      <c r="D44" t="s">
        <v>184</v>
      </c>
      <c r="E44" t="str">
        <f t="shared" si="0"/>
        <v>Krawczyk Paweł</v>
      </c>
    </row>
    <row r="45" spans="1:5" x14ac:dyDescent="0.2">
      <c r="A45" t="s">
        <v>339</v>
      </c>
      <c r="B45" t="s">
        <v>149</v>
      </c>
      <c r="C45" t="s">
        <v>340</v>
      </c>
      <c r="D45" t="s">
        <v>341</v>
      </c>
      <c r="E45" t="str">
        <f t="shared" si="0"/>
        <v>Kubik Piotr</v>
      </c>
    </row>
    <row r="46" spans="1:5" x14ac:dyDescent="0.2">
      <c r="A46" t="s">
        <v>289</v>
      </c>
      <c r="B46" t="s">
        <v>290</v>
      </c>
      <c r="C46" t="s">
        <v>291</v>
      </c>
      <c r="D46" t="s">
        <v>292</v>
      </c>
      <c r="E46" t="str">
        <f t="shared" si="0"/>
        <v>Kulis Andrzej</v>
      </c>
    </row>
    <row r="47" spans="1:5" x14ac:dyDescent="0.2">
      <c r="A47" t="s">
        <v>303</v>
      </c>
      <c r="B47" t="s">
        <v>175</v>
      </c>
      <c r="C47" t="s">
        <v>68</v>
      </c>
      <c r="D47" t="s">
        <v>304</v>
      </c>
      <c r="E47" t="str">
        <f t="shared" si="0"/>
        <v>Lepieszka Joanna</v>
      </c>
    </row>
    <row r="48" spans="1:5" x14ac:dyDescent="0.2">
      <c r="A48" t="s">
        <v>70</v>
      </c>
      <c r="B48" t="s">
        <v>63</v>
      </c>
      <c r="C48" t="s">
        <v>71</v>
      </c>
      <c r="D48" t="s">
        <v>72</v>
      </c>
      <c r="E48" t="str">
        <f t="shared" si="0"/>
        <v>Lisz Katarzyna</v>
      </c>
    </row>
    <row r="49" spans="1:5" x14ac:dyDescent="0.2">
      <c r="A49" t="s">
        <v>257</v>
      </c>
      <c r="B49" t="s">
        <v>163</v>
      </c>
      <c r="C49" t="s">
        <v>258</v>
      </c>
      <c r="D49" t="s">
        <v>259</v>
      </c>
      <c r="E49" t="str">
        <f t="shared" si="0"/>
        <v>Łukasik Monika</v>
      </c>
    </row>
    <row r="50" spans="1:5" x14ac:dyDescent="0.2">
      <c r="A50" t="s">
        <v>331</v>
      </c>
      <c r="B50" t="s">
        <v>67</v>
      </c>
      <c r="C50" t="s">
        <v>205</v>
      </c>
      <c r="D50" t="s">
        <v>332</v>
      </c>
      <c r="E50" t="str">
        <f t="shared" si="0"/>
        <v>Majcher Łukasz</v>
      </c>
    </row>
    <row r="51" spans="1:5" x14ac:dyDescent="0.2">
      <c r="A51" t="s">
        <v>189</v>
      </c>
      <c r="B51" t="s">
        <v>190</v>
      </c>
      <c r="C51" t="s">
        <v>68</v>
      </c>
      <c r="D51" t="s">
        <v>191</v>
      </c>
      <c r="E51" t="str">
        <f t="shared" si="0"/>
        <v>Maliszewska Justyna</v>
      </c>
    </row>
    <row r="52" spans="1:5" x14ac:dyDescent="0.2">
      <c r="A52" t="s">
        <v>326</v>
      </c>
      <c r="B52" t="s">
        <v>190</v>
      </c>
      <c r="C52" t="s">
        <v>327</v>
      </c>
      <c r="D52" t="s">
        <v>328</v>
      </c>
      <c r="E52" t="str">
        <f t="shared" si="0"/>
        <v>Mikołajczyk Justyna</v>
      </c>
    </row>
    <row r="53" spans="1:5" x14ac:dyDescent="0.2">
      <c r="A53" t="s">
        <v>198</v>
      </c>
      <c r="B53" t="s">
        <v>137</v>
      </c>
      <c r="C53" t="s">
        <v>199</v>
      </c>
      <c r="D53" t="s">
        <v>200</v>
      </c>
      <c r="E53" t="str">
        <f t="shared" si="0"/>
        <v>Misiak  Wioletta</v>
      </c>
    </row>
    <row r="54" spans="1:5" x14ac:dyDescent="0.2">
      <c r="A54" t="s">
        <v>293</v>
      </c>
      <c r="B54" t="s">
        <v>294</v>
      </c>
      <c r="C54" t="s">
        <v>88</v>
      </c>
      <c r="D54" t="s">
        <v>295</v>
      </c>
      <c r="E54" t="str">
        <f t="shared" si="0"/>
        <v>Misztal Michał</v>
      </c>
    </row>
    <row r="55" spans="1:5" x14ac:dyDescent="0.2">
      <c r="A55" t="s">
        <v>363</v>
      </c>
      <c r="B55" t="s">
        <v>76</v>
      </c>
      <c r="C55" t="s">
        <v>68</v>
      </c>
      <c r="D55" t="s">
        <v>364</v>
      </c>
      <c r="E55" t="str">
        <f t="shared" si="0"/>
        <v>Motel Małgorzata</v>
      </c>
    </row>
    <row r="56" spans="1:5" x14ac:dyDescent="0.2">
      <c r="A56" t="s">
        <v>75</v>
      </c>
      <c r="B56" t="s">
        <v>76</v>
      </c>
      <c r="C56" t="s">
        <v>77</v>
      </c>
      <c r="D56" t="s">
        <v>78</v>
      </c>
      <c r="E56" t="str">
        <f t="shared" si="0"/>
        <v>Nawrocka Małgorzata</v>
      </c>
    </row>
    <row r="57" spans="1:5" x14ac:dyDescent="0.2">
      <c r="A57" t="s">
        <v>312</v>
      </c>
      <c r="B57" t="s">
        <v>149</v>
      </c>
      <c r="C57" t="s">
        <v>68</v>
      </c>
      <c r="D57" t="s">
        <v>313</v>
      </c>
      <c r="E57" t="str">
        <f t="shared" si="0"/>
        <v>Okoński Piotr</v>
      </c>
    </row>
    <row r="58" spans="1:5" x14ac:dyDescent="0.2">
      <c r="A58" t="s">
        <v>285</v>
      </c>
      <c r="B58" t="s">
        <v>286</v>
      </c>
      <c r="C58" t="s">
        <v>287</v>
      </c>
      <c r="D58" t="s">
        <v>288</v>
      </c>
      <c r="E58" t="str">
        <f t="shared" si="0"/>
        <v>Olenderek Przemysław</v>
      </c>
    </row>
    <row r="59" spans="1:5" x14ac:dyDescent="0.2">
      <c r="A59" t="s">
        <v>360</v>
      </c>
      <c r="B59" t="s">
        <v>361</v>
      </c>
      <c r="C59" t="s">
        <v>68</v>
      </c>
      <c r="D59" t="s">
        <v>362</v>
      </c>
      <c r="E59" t="str">
        <f t="shared" si="0"/>
        <v>Pająk Sylwia</v>
      </c>
    </row>
    <row r="60" spans="1:5" x14ac:dyDescent="0.2">
      <c r="A60" t="s">
        <v>254</v>
      </c>
      <c r="B60" t="s">
        <v>133</v>
      </c>
      <c r="C60" t="s">
        <v>255</v>
      </c>
      <c r="D60" t="s">
        <v>256</v>
      </c>
      <c r="E60" t="str">
        <f t="shared" si="0"/>
        <v>Pakuła Artur</v>
      </c>
    </row>
    <row r="61" spans="1:5" x14ac:dyDescent="0.2">
      <c r="A61" t="s">
        <v>162</v>
      </c>
      <c r="B61" t="s">
        <v>163</v>
      </c>
      <c r="C61" t="s">
        <v>68</v>
      </c>
      <c r="D61" t="s">
        <v>164</v>
      </c>
      <c r="E61" t="str">
        <f t="shared" si="0"/>
        <v>Pałyska Monika</v>
      </c>
    </row>
    <row r="62" spans="1:5" x14ac:dyDescent="0.2">
      <c r="A62" t="s">
        <v>105</v>
      </c>
      <c r="B62" t="s">
        <v>106</v>
      </c>
      <c r="C62" t="s">
        <v>68</v>
      </c>
      <c r="D62" t="s">
        <v>107</v>
      </c>
      <c r="E62" t="str">
        <f t="shared" si="0"/>
        <v>Panek Renata</v>
      </c>
    </row>
    <row r="63" spans="1:5" x14ac:dyDescent="0.2">
      <c r="A63" t="s">
        <v>236</v>
      </c>
      <c r="B63" t="s">
        <v>175</v>
      </c>
      <c r="C63" t="s">
        <v>237</v>
      </c>
      <c r="D63" t="s">
        <v>238</v>
      </c>
      <c r="E63" t="str">
        <f t="shared" si="0"/>
        <v>Pasińska Joanna</v>
      </c>
    </row>
    <row r="64" spans="1:5" x14ac:dyDescent="0.2">
      <c r="A64" t="s">
        <v>94</v>
      </c>
      <c r="B64" t="s">
        <v>95</v>
      </c>
      <c r="C64" t="s">
        <v>96</v>
      </c>
      <c r="D64" t="s">
        <v>97</v>
      </c>
      <c r="E64" t="str">
        <f t="shared" si="0"/>
        <v>Piesek Marcin</v>
      </c>
    </row>
    <row r="65" spans="1:5" x14ac:dyDescent="0.2">
      <c r="A65" t="s">
        <v>156</v>
      </c>
      <c r="B65" t="s">
        <v>63</v>
      </c>
      <c r="C65" t="s">
        <v>68</v>
      </c>
      <c r="D65" t="s">
        <v>157</v>
      </c>
      <c r="E65" t="str">
        <f t="shared" si="0"/>
        <v>Pływaczewska Katarzyna</v>
      </c>
    </row>
    <row r="66" spans="1:5" x14ac:dyDescent="0.2">
      <c r="A66" t="s">
        <v>270</v>
      </c>
      <c r="B66" t="s">
        <v>271</v>
      </c>
      <c r="C66" t="s">
        <v>68</v>
      </c>
      <c r="D66" t="s">
        <v>272</v>
      </c>
      <c r="E66" t="str">
        <f t="shared" si="0"/>
        <v>Przybyłowski Ireneusz</v>
      </c>
    </row>
    <row r="67" spans="1:5" x14ac:dyDescent="0.2">
      <c r="A67" t="s">
        <v>132</v>
      </c>
      <c r="B67" t="s">
        <v>133</v>
      </c>
      <c r="C67" t="s">
        <v>134</v>
      </c>
      <c r="D67" t="s">
        <v>135</v>
      </c>
      <c r="E67" t="str">
        <f t="shared" ref="E67:E101" si="1">A67&amp;" "&amp;B67</f>
        <v>Rączka Artur</v>
      </c>
    </row>
    <row r="68" spans="1:5" x14ac:dyDescent="0.2">
      <c r="A68" t="s">
        <v>223</v>
      </c>
      <c r="B68" t="s">
        <v>224</v>
      </c>
      <c r="C68" t="s">
        <v>225</v>
      </c>
      <c r="D68" t="s">
        <v>226</v>
      </c>
      <c r="E68" t="str">
        <f t="shared" si="1"/>
        <v>Rejniak Arkadiusz</v>
      </c>
    </row>
    <row r="69" spans="1:5" x14ac:dyDescent="0.2">
      <c r="A69" t="s">
        <v>329</v>
      </c>
      <c r="B69" t="s">
        <v>99</v>
      </c>
      <c r="C69" t="s">
        <v>130</v>
      </c>
      <c r="D69" t="s">
        <v>330</v>
      </c>
      <c r="E69" t="str">
        <f t="shared" si="1"/>
        <v>Rutkowski Rafał</v>
      </c>
    </row>
    <row r="70" spans="1:5" x14ac:dyDescent="0.2">
      <c r="A70" t="s">
        <v>260</v>
      </c>
      <c r="B70" t="s">
        <v>149</v>
      </c>
      <c r="C70" t="s">
        <v>81</v>
      </c>
      <c r="D70" t="s">
        <v>261</v>
      </c>
      <c r="E70" t="str">
        <f t="shared" si="1"/>
        <v>Selerski Piotr</v>
      </c>
    </row>
    <row r="71" spans="1:5" x14ac:dyDescent="0.2">
      <c r="A71" t="s">
        <v>158</v>
      </c>
      <c r="B71" t="s">
        <v>137</v>
      </c>
      <c r="C71" t="s">
        <v>68</v>
      </c>
      <c r="D71" t="s">
        <v>159</v>
      </c>
      <c r="E71" t="str">
        <f t="shared" si="1"/>
        <v>Siemińska Wioletta</v>
      </c>
    </row>
    <row r="72" spans="1:5" x14ac:dyDescent="0.2">
      <c r="A72" t="s">
        <v>86</v>
      </c>
      <c r="B72" t="s">
        <v>87</v>
      </c>
      <c r="C72" t="s">
        <v>88</v>
      </c>
      <c r="D72" t="s">
        <v>89</v>
      </c>
      <c r="E72" t="str">
        <f t="shared" si="1"/>
        <v>Skiba Ewa</v>
      </c>
    </row>
    <row r="73" spans="1:5" x14ac:dyDescent="0.2">
      <c r="A73" t="s">
        <v>112</v>
      </c>
      <c r="B73" t="s">
        <v>99</v>
      </c>
      <c r="C73" t="s">
        <v>68</v>
      </c>
      <c r="D73" t="s">
        <v>113</v>
      </c>
      <c r="E73" t="str">
        <f t="shared" si="1"/>
        <v>Sobota Rafał</v>
      </c>
    </row>
    <row r="74" spans="1:5" x14ac:dyDescent="0.2">
      <c r="A74" t="s">
        <v>211</v>
      </c>
      <c r="B74" t="s">
        <v>212</v>
      </c>
      <c r="C74" t="s">
        <v>213</v>
      </c>
      <c r="D74" t="s">
        <v>214</v>
      </c>
      <c r="E74" t="str">
        <f t="shared" si="1"/>
        <v>Stasiak Emil</v>
      </c>
    </row>
    <row r="75" spans="1:5" x14ac:dyDescent="0.2">
      <c r="A75" t="s">
        <v>79</v>
      </c>
      <c r="B75" t="s">
        <v>80</v>
      </c>
      <c r="C75" t="s">
        <v>81</v>
      </c>
      <c r="D75" t="s">
        <v>82</v>
      </c>
      <c r="E75" t="str">
        <f t="shared" si="1"/>
        <v>Stefanowski Franciszek</v>
      </c>
    </row>
    <row r="76" spans="1:5" x14ac:dyDescent="0.2">
      <c r="A76" t="s">
        <v>79</v>
      </c>
      <c r="B76" t="s">
        <v>178</v>
      </c>
      <c r="C76" t="s">
        <v>249</v>
      </c>
      <c r="D76" t="s">
        <v>250</v>
      </c>
      <c r="E76" t="str">
        <f t="shared" si="1"/>
        <v>Stefanowski Radosław</v>
      </c>
    </row>
    <row r="77" spans="1:5" x14ac:dyDescent="0.2">
      <c r="A77" t="s">
        <v>239</v>
      </c>
      <c r="B77" t="s">
        <v>115</v>
      </c>
      <c r="C77" t="s">
        <v>187</v>
      </c>
      <c r="D77" t="s">
        <v>240</v>
      </c>
      <c r="E77" t="str">
        <f t="shared" si="1"/>
        <v>Stempniak Magdalena</v>
      </c>
    </row>
    <row r="78" spans="1:5" x14ac:dyDescent="0.2">
      <c r="A78" t="s">
        <v>174</v>
      </c>
      <c r="B78" t="s">
        <v>175</v>
      </c>
      <c r="C78" t="s">
        <v>110</v>
      </c>
      <c r="D78" t="s">
        <v>176</v>
      </c>
      <c r="E78" t="str">
        <f t="shared" si="1"/>
        <v>Szczęsna Joanna</v>
      </c>
    </row>
    <row r="79" spans="1:5" x14ac:dyDescent="0.2">
      <c r="A79" t="s">
        <v>73</v>
      </c>
      <c r="B79" t="s">
        <v>63</v>
      </c>
      <c r="C79" t="s">
        <v>68</v>
      </c>
      <c r="D79" t="s">
        <v>74</v>
      </c>
      <c r="E79" t="str">
        <f t="shared" si="1"/>
        <v>Szwarc Katarzyna</v>
      </c>
    </row>
    <row r="80" spans="1:5" x14ac:dyDescent="0.2">
      <c r="A80" t="s">
        <v>136</v>
      </c>
      <c r="B80" t="s">
        <v>137</v>
      </c>
      <c r="C80" t="s">
        <v>138</v>
      </c>
      <c r="D80" t="s">
        <v>139</v>
      </c>
      <c r="E80" t="str">
        <f t="shared" si="1"/>
        <v>Szymańska Wioletta</v>
      </c>
    </row>
    <row r="81" spans="1:5" x14ac:dyDescent="0.2">
      <c r="A81" t="s">
        <v>246</v>
      </c>
      <c r="B81" t="s">
        <v>122</v>
      </c>
      <c r="C81" t="s">
        <v>247</v>
      </c>
      <c r="D81" t="s">
        <v>248</v>
      </c>
      <c r="E81" t="str">
        <f t="shared" si="1"/>
        <v>Szymański Mariusz</v>
      </c>
    </row>
    <row r="82" spans="1:5" x14ac:dyDescent="0.2">
      <c r="A82" t="s">
        <v>140</v>
      </c>
      <c r="B82" t="s">
        <v>63</v>
      </c>
      <c r="C82" t="s">
        <v>68</v>
      </c>
      <c r="D82" t="s">
        <v>141</v>
      </c>
      <c r="E82" t="str">
        <f t="shared" si="1"/>
        <v>Ściechurska Katarzyna</v>
      </c>
    </row>
    <row r="83" spans="1:5" x14ac:dyDescent="0.2">
      <c r="A83" t="s">
        <v>201</v>
      </c>
      <c r="B83" t="s">
        <v>202</v>
      </c>
      <c r="C83" t="s">
        <v>92</v>
      </c>
      <c r="D83" t="s">
        <v>203</v>
      </c>
      <c r="E83" t="str">
        <f t="shared" si="1"/>
        <v>Talarowska Marlena</v>
      </c>
    </row>
    <row r="84" spans="1:5" x14ac:dyDescent="0.2">
      <c r="A84" t="s">
        <v>324</v>
      </c>
      <c r="B84" t="s">
        <v>220</v>
      </c>
      <c r="C84" t="s">
        <v>68</v>
      </c>
      <c r="D84" t="s">
        <v>325</v>
      </c>
      <c r="E84" t="str">
        <f t="shared" si="1"/>
        <v>Tomala Tomasz</v>
      </c>
    </row>
    <row r="85" spans="1:5" x14ac:dyDescent="0.2">
      <c r="A85" t="s">
        <v>128</v>
      </c>
      <c r="B85" t="s">
        <v>129</v>
      </c>
      <c r="C85" t="s">
        <v>130</v>
      </c>
      <c r="D85" t="s">
        <v>131</v>
      </c>
      <c r="E85" t="str">
        <f t="shared" si="1"/>
        <v>Tręboszka Jarosław</v>
      </c>
    </row>
    <row r="86" spans="1:5" x14ac:dyDescent="0.2">
      <c r="A86" t="s">
        <v>177</v>
      </c>
      <c r="B86" t="s">
        <v>178</v>
      </c>
      <c r="C86" t="s">
        <v>179</v>
      </c>
      <c r="D86" t="s">
        <v>180</v>
      </c>
      <c r="E86" t="str">
        <f t="shared" si="1"/>
        <v>Turkowski Radosław</v>
      </c>
    </row>
    <row r="87" spans="1:5" x14ac:dyDescent="0.2">
      <c r="A87" t="s">
        <v>195</v>
      </c>
      <c r="B87" t="s">
        <v>84</v>
      </c>
      <c r="C87" t="s">
        <v>196</v>
      </c>
      <c r="D87" t="s">
        <v>197</v>
      </c>
      <c r="E87" t="str">
        <f t="shared" si="1"/>
        <v>Urbaniak Jacek</v>
      </c>
    </row>
    <row r="88" spans="1:5" x14ac:dyDescent="0.2">
      <c r="A88" t="s">
        <v>160</v>
      </c>
      <c r="B88" t="s">
        <v>137</v>
      </c>
      <c r="C88" t="s">
        <v>68</v>
      </c>
      <c r="D88" t="s">
        <v>161</v>
      </c>
      <c r="E88" t="str">
        <f t="shared" si="1"/>
        <v>Uszyńska Wioletta</v>
      </c>
    </row>
    <row r="89" spans="1:5" x14ac:dyDescent="0.2">
      <c r="A89" t="s">
        <v>296</v>
      </c>
      <c r="B89" t="s">
        <v>125</v>
      </c>
      <c r="C89" t="s">
        <v>221</v>
      </c>
      <c r="D89" t="s">
        <v>297</v>
      </c>
      <c r="E89" t="str">
        <f t="shared" si="1"/>
        <v>Wachowska Aneta</v>
      </c>
    </row>
    <row r="90" spans="1:5" x14ac:dyDescent="0.2">
      <c r="A90" t="s">
        <v>185</v>
      </c>
      <c r="B90" t="s">
        <v>186</v>
      </c>
      <c r="C90" t="s">
        <v>187</v>
      </c>
      <c r="D90" t="s">
        <v>188</v>
      </c>
      <c r="E90" t="str">
        <f t="shared" si="1"/>
        <v>Wasilewski Sylwester</v>
      </c>
    </row>
    <row r="91" spans="1:5" x14ac:dyDescent="0.2">
      <c r="A91" t="s">
        <v>348</v>
      </c>
      <c r="B91" t="s">
        <v>267</v>
      </c>
      <c r="C91" t="s">
        <v>68</v>
      </c>
      <c r="D91" t="s">
        <v>349</v>
      </c>
      <c r="E91" t="str">
        <f t="shared" si="1"/>
        <v>Wigier Adam</v>
      </c>
    </row>
    <row r="92" spans="1:5" x14ac:dyDescent="0.2">
      <c r="A92" t="s">
        <v>333</v>
      </c>
      <c r="B92" t="s">
        <v>95</v>
      </c>
      <c r="C92" t="s">
        <v>68</v>
      </c>
      <c r="D92" t="s">
        <v>334</v>
      </c>
      <c r="E92" t="str">
        <f t="shared" si="1"/>
        <v>Wiśniewski Marcin</v>
      </c>
    </row>
    <row r="93" spans="1:5" x14ac:dyDescent="0.2">
      <c r="A93" t="s">
        <v>102</v>
      </c>
      <c r="B93" t="s">
        <v>103</v>
      </c>
      <c r="C93" t="s">
        <v>68</v>
      </c>
      <c r="D93" t="s">
        <v>104</v>
      </c>
      <c r="E93" t="str">
        <f t="shared" si="1"/>
        <v>Wolska Edyta</v>
      </c>
    </row>
    <row r="94" spans="1:5" x14ac:dyDescent="0.2">
      <c r="A94" t="s">
        <v>350</v>
      </c>
      <c r="B94" t="s">
        <v>137</v>
      </c>
      <c r="C94" t="s">
        <v>351</v>
      </c>
      <c r="D94" t="s">
        <v>352</v>
      </c>
      <c r="E94" t="str">
        <f t="shared" si="1"/>
        <v>Wosik Wioletta</v>
      </c>
    </row>
    <row r="95" spans="1:5" x14ac:dyDescent="0.2">
      <c r="A95" t="s">
        <v>355</v>
      </c>
      <c r="B95" t="s">
        <v>129</v>
      </c>
      <c r="C95" t="s">
        <v>356</v>
      </c>
      <c r="D95" t="s">
        <v>357</v>
      </c>
      <c r="E95" t="str">
        <f t="shared" si="1"/>
        <v>Woźniak Jarosław</v>
      </c>
    </row>
    <row r="96" spans="1:5" x14ac:dyDescent="0.2">
      <c r="A96" t="s">
        <v>207</v>
      </c>
      <c r="B96" t="s">
        <v>208</v>
      </c>
      <c r="C96" t="s">
        <v>209</v>
      </c>
      <c r="D96" t="s">
        <v>210</v>
      </c>
      <c r="E96" t="str">
        <f t="shared" si="1"/>
        <v>Wójcicka Hanna</v>
      </c>
    </row>
    <row r="97" spans="1:5" x14ac:dyDescent="0.2">
      <c r="A97" t="s">
        <v>124</v>
      </c>
      <c r="B97" t="s">
        <v>125</v>
      </c>
      <c r="C97" t="s">
        <v>126</v>
      </c>
      <c r="D97" t="s">
        <v>127</v>
      </c>
      <c r="E97" t="str">
        <f t="shared" si="1"/>
        <v>Wróblewska Aneta</v>
      </c>
    </row>
    <row r="98" spans="1:5" x14ac:dyDescent="0.2">
      <c r="A98" t="s">
        <v>335</v>
      </c>
      <c r="B98" t="s">
        <v>336</v>
      </c>
      <c r="C98" t="s">
        <v>337</v>
      </c>
      <c r="D98" t="s">
        <v>338</v>
      </c>
      <c r="E98" t="str">
        <f t="shared" si="1"/>
        <v>Wysocka Wiesława</v>
      </c>
    </row>
    <row r="99" spans="1:5" x14ac:dyDescent="0.2">
      <c r="A99" t="s">
        <v>148</v>
      </c>
      <c r="B99" t="s">
        <v>149</v>
      </c>
      <c r="C99" t="s">
        <v>150</v>
      </c>
      <c r="D99" t="s">
        <v>151</v>
      </c>
      <c r="E99" t="str">
        <f t="shared" si="1"/>
        <v>Zając Piotr</v>
      </c>
    </row>
    <row r="100" spans="1:5" x14ac:dyDescent="0.2">
      <c r="A100" t="s">
        <v>319</v>
      </c>
      <c r="B100" t="s">
        <v>190</v>
      </c>
      <c r="C100" t="s">
        <v>68</v>
      </c>
      <c r="D100" t="s">
        <v>320</v>
      </c>
      <c r="E100" t="str">
        <f t="shared" si="1"/>
        <v>Zatorska Justyna</v>
      </c>
    </row>
    <row r="101" spans="1:5" x14ac:dyDescent="0.2">
      <c r="A101" t="s">
        <v>344</v>
      </c>
      <c r="B101" t="s">
        <v>345</v>
      </c>
      <c r="C101" t="s">
        <v>346</v>
      </c>
      <c r="D101" t="s">
        <v>347</v>
      </c>
      <c r="E101" t="str">
        <f t="shared" si="1"/>
        <v>Zawadzka Ilona</v>
      </c>
    </row>
  </sheetData>
  <sortState xmlns:xlrd2="http://schemas.microsoft.com/office/spreadsheetml/2017/richdata2" ref="A2:D101">
    <sortCondition ref="A2:A10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CB103-2E35-4131-9D8D-F24D4AC9FFA7}">
  <dimension ref="A1:P31"/>
  <sheetViews>
    <sheetView workbookViewId="0">
      <selection activeCell="O32" sqref="O32"/>
    </sheetView>
  </sheetViews>
  <sheetFormatPr defaultRowHeight="12.75" x14ac:dyDescent="0.2"/>
  <cols>
    <col min="1" max="1" width="10.7109375" customWidth="1"/>
    <col min="2" max="2" width="12.85546875" customWidth="1"/>
    <col min="3" max="3" width="17" customWidth="1"/>
    <col min="4" max="4" width="7.7109375" bestFit="1" customWidth="1"/>
    <col min="5" max="5" width="15.140625" bestFit="1" customWidth="1"/>
    <col min="6" max="8" width="9.140625" customWidth="1"/>
    <col min="9" max="9" width="9.7109375" customWidth="1"/>
    <col min="10" max="10" width="11.28515625" bestFit="1" customWidth="1"/>
    <col min="11" max="11" width="9.7109375" bestFit="1" customWidth="1"/>
    <col min="12" max="12" width="11.28515625" bestFit="1" customWidth="1"/>
  </cols>
  <sheetData>
    <row r="1" spans="1:16" ht="37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48</v>
      </c>
      <c r="F1" s="2" t="s">
        <v>4</v>
      </c>
      <c r="G1" s="1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  <c r="N1" s="29" t="s">
        <v>45</v>
      </c>
      <c r="O1" s="29"/>
      <c r="P1" s="29"/>
    </row>
    <row r="2" spans="1:16" x14ac:dyDescent="0.2">
      <c r="A2" s="3" t="s">
        <v>11</v>
      </c>
      <c r="B2" s="4" t="s">
        <v>12</v>
      </c>
      <c r="C2" s="5" t="s">
        <v>13</v>
      </c>
      <c r="D2" s="6" t="s">
        <v>14</v>
      </c>
      <c r="E2" s="7">
        <f>VLOOKUP(D2,$N$3:$P$5,3,0)</f>
        <v>90</v>
      </c>
      <c r="F2" s="7">
        <v>5</v>
      </c>
      <c r="G2" s="8"/>
      <c r="H2" s="9">
        <v>4</v>
      </c>
      <c r="I2" s="10">
        <v>350</v>
      </c>
      <c r="J2" s="27">
        <f>ROUNDUP(G2/F2,0)*E2</f>
        <v>0</v>
      </c>
      <c r="K2" s="27">
        <f>ROUNDUP(G2/F2,0)*H2+I2</f>
        <v>350</v>
      </c>
      <c r="L2" s="28">
        <f>J2-K2</f>
        <v>-350</v>
      </c>
      <c r="O2" t="s">
        <v>46</v>
      </c>
      <c r="P2" t="s">
        <v>47</v>
      </c>
    </row>
    <row r="3" spans="1:16" x14ac:dyDescent="0.2">
      <c r="A3" s="3" t="s">
        <v>17</v>
      </c>
      <c r="B3" s="4" t="s">
        <v>12</v>
      </c>
      <c r="C3" s="5" t="s">
        <v>13</v>
      </c>
      <c r="D3" s="6" t="s">
        <v>14</v>
      </c>
      <c r="E3" s="7">
        <f t="shared" ref="E3:E31" si="0">VLOOKUP(D3,$N$3:$P$5,3,0)</f>
        <v>90</v>
      </c>
      <c r="F3" s="7">
        <v>5</v>
      </c>
      <c r="G3" s="8"/>
      <c r="H3" s="9">
        <v>4</v>
      </c>
      <c r="I3" s="10">
        <v>300</v>
      </c>
      <c r="J3" s="27">
        <f t="shared" ref="J3:J31" si="1">ROUNDUP(G3/F3,0)*E3</f>
        <v>0</v>
      </c>
      <c r="K3" s="27">
        <f t="shared" ref="K3:K31" si="2">ROUNDUP(G3/F3,0)*H3+I3</f>
        <v>300</v>
      </c>
      <c r="L3" s="28">
        <f t="shared" ref="L3:L31" si="3">J3-K3</f>
        <v>-300</v>
      </c>
      <c r="N3" s="14" t="s">
        <v>15</v>
      </c>
      <c r="O3" s="14">
        <v>20</v>
      </c>
      <c r="P3" s="14">
        <v>60</v>
      </c>
    </row>
    <row r="4" spans="1:16" x14ac:dyDescent="0.2">
      <c r="A4" s="3" t="s">
        <v>11</v>
      </c>
      <c r="B4" s="4" t="s">
        <v>18</v>
      </c>
      <c r="C4" s="13" t="s">
        <v>19</v>
      </c>
      <c r="D4" s="6" t="s">
        <v>15</v>
      </c>
      <c r="E4" s="7">
        <f t="shared" si="0"/>
        <v>60</v>
      </c>
      <c r="F4" s="7">
        <v>5</v>
      </c>
      <c r="G4" s="8"/>
      <c r="H4" s="9">
        <v>7</v>
      </c>
      <c r="I4" s="10">
        <v>350</v>
      </c>
      <c r="J4" s="27">
        <f t="shared" si="1"/>
        <v>0</v>
      </c>
      <c r="K4" s="27">
        <f t="shared" si="2"/>
        <v>350</v>
      </c>
      <c r="L4" s="28">
        <f t="shared" si="3"/>
        <v>-350</v>
      </c>
      <c r="N4" s="14" t="s">
        <v>14</v>
      </c>
      <c r="O4" s="14">
        <v>40</v>
      </c>
      <c r="P4" s="14">
        <v>90</v>
      </c>
    </row>
    <row r="5" spans="1:16" x14ac:dyDescent="0.2">
      <c r="A5" s="3" t="s">
        <v>11</v>
      </c>
      <c r="B5" s="4" t="s">
        <v>20</v>
      </c>
      <c r="C5" s="13" t="s">
        <v>21</v>
      </c>
      <c r="D5" s="6" t="s">
        <v>14</v>
      </c>
      <c r="E5" s="7">
        <f t="shared" si="0"/>
        <v>90</v>
      </c>
      <c r="F5" s="7">
        <v>3</v>
      </c>
      <c r="G5" s="8"/>
      <c r="H5" s="9">
        <v>5</v>
      </c>
      <c r="I5" s="10">
        <v>350</v>
      </c>
      <c r="J5" s="27">
        <f t="shared" si="1"/>
        <v>0</v>
      </c>
      <c r="K5" s="27">
        <f t="shared" si="2"/>
        <v>350</v>
      </c>
      <c r="L5" s="28">
        <f t="shared" si="3"/>
        <v>-350</v>
      </c>
      <c r="N5" s="14" t="s">
        <v>16</v>
      </c>
      <c r="O5" s="14">
        <v>80</v>
      </c>
      <c r="P5" s="14">
        <v>120</v>
      </c>
    </row>
    <row r="6" spans="1:16" x14ac:dyDescent="0.2">
      <c r="A6" s="3" t="s">
        <v>22</v>
      </c>
      <c r="B6" s="4" t="s">
        <v>20</v>
      </c>
      <c r="C6" s="13" t="s">
        <v>21</v>
      </c>
      <c r="D6" s="6" t="s">
        <v>14</v>
      </c>
      <c r="E6" s="7">
        <f t="shared" si="0"/>
        <v>90</v>
      </c>
      <c r="F6" s="7">
        <v>3</v>
      </c>
      <c r="G6" s="8"/>
      <c r="H6" s="9">
        <v>5</v>
      </c>
      <c r="I6" s="10">
        <v>250</v>
      </c>
      <c r="J6" s="27">
        <f t="shared" si="1"/>
        <v>0</v>
      </c>
      <c r="K6" s="27">
        <f t="shared" si="2"/>
        <v>250</v>
      </c>
      <c r="L6" s="28">
        <f t="shared" si="3"/>
        <v>-250</v>
      </c>
    </row>
    <row r="7" spans="1:16" x14ac:dyDescent="0.2">
      <c r="A7" s="3" t="s">
        <v>17</v>
      </c>
      <c r="B7" s="5" t="s">
        <v>23</v>
      </c>
      <c r="C7" s="5" t="s">
        <v>24</v>
      </c>
      <c r="D7" s="6" t="s">
        <v>15</v>
      </c>
      <c r="E7" s="7">
        <f t="shared" si="0"/>
        <v>60</v>
      </c>
      <c r="F7" s="7">
        <v>6</v>
      </c>
      <c r="G7" s="8"/>
      <c r="H7" s="9">
        <v>4</v>
      </c>
      <c r="I7" s="10">
        <v>300</v>
      </c>
      <c r="J7" s="27">
        <f t="shared" si="1"/>
        <v>0</v>
      </c>
      <c r="K7" s="27">
        <f t="shared" si="2"/>
        <v>300</v>
      </c>
      <c r="L7" s="28">
        <f t="shared" si="3"/>
        <v>-300</v>
      </c>
    </row>
    <row r="8" spans="1:16" x14ac:dyDescent="0.2">
      <c r="A8" s="3" t="s">
        <v>11</v>
      </c>
      <c r="B8" s="4" t="s">
        <v>25</v>
      </c>
      <c r="C8" s="13" t="s">
        <v>26</v>
      </c>
      <c r="D8" s="6" t="s">
        <v>16</v>
      </c>
      <c r="E8" s="7">
        <f t="shared" si="0"/>
        <v>120</v>
      </c>
      <c r="F8" s="7">
        <v>6</v>
      </c>
      <c r="G8" s="8"/>
      <c r="H8" s="9">
        <v>4</v>
      </c>
      <c r="I8" s="10">
        <v>350</v>
      </c>
      <c r="J8" s="27">
        <f t="shared" si="1"/>
        <v>0</v>
      </c>
      <c r="K8" s="27">
        <f t="shared" si="2"/>
        <v>350</v>
      </c>
      <c r="L8" s="28">
        <f t="shared" si="3"/>
        <v>-350</v>
      </c>
    </row>
    <row r="9" spans="1:16" x14ac:dyDescent="0.2">
      <c r="A9" s="3" t="s">
        <v>17</v>
      </c>
      <c r="B9" s="4" t="s">
        <v>25</v>
      </c>
      <c r="C9" s="13" t="s">
        <v>26</v>
      </c>
      <c r="D9" s="6" t="s">
        <v>16</v>
      </c>
      <c r="E9" s="7">
        <f t="shared" si="0"/>
        <v>120</v>
      </c>
      <c r="F9" s="7">
        <v>6</v>
      </c>
      <c r="G9" s="8"/>
      <c r="H9" s="9">
        <v>4</v>
      </c>
      <c r="I9" s="10">
        <v>300</v>
      </c>
      <c r="J9" s="27">
        <f t="shared" si="1"/>
        <v>0</v>
      </c>
      <c r="K9" s="27">
        <f t="shared" si="2"/>
        <v>300</v>
      </c>
      <c r="L9" s="28">
        <f t="shared" si="3"/>
        <v>-300</v>
      </c>
    </row>
    <row r="10" spans="1:16" x14ac:dyDescent="0.2">
      <c r="A10" s="3" t="s">
        <v>22</v>
      </c>
      <c r="B10" s="4" t="s">
        <v>25</v>
      </c>
      <c r="C10" s="13" t="s">
        <v>26</v>
      </c>
      <c r="D10" s="6" t="s">
        <v>16</v>
      </c>
      <c r="E10" s="7">
        <f t="shared" si="0"/>
        <v>120</v>
      </c>
      <c r="F10" s="7">
        <v>6</v>
      </c>
      <c r="G10" s="8"/>
      <c r="H10" s="9">
        <v>4</v>
      </c>
      <c r="I10" s="10">
        <v>250</v>
      </c>
      <c r="J10" s="27">
        <f t="shared" si="1"/>
        <v>0</v>
      </c>
      <c r="K10" s="27">
        <f t="shared" si="2"/>
        <v>250</v>
      </c>
      <c r="L10" s="28">
        <f t="shared" si="3"/>
        <v>-250</v>
      </c>
    </row>
    <row r="11" spans="1:16" x14ac:dyDescent="0.2">
      <c r="A11" s="3" t="s">
        <v>17</v>
      </c>
      <c r="B11" s="4" t="s">
        <v>18</v>
      </c>
      <c r="C11" s="13" t="s">
        <v>27</v>
      </c>
      <c r="D11" s="6" t="s">
        <v>16</v>
      </c>
      <c r="E11" s="7">
        <f t="shared" si="0"/>
        <v>120</v>
      </c>
      <c r="F11" s="7">
        <v>5</v>
      </c>
      <c r="G11" s="8"/>
      <c r="H11" s="9">
        <v>6</v>
      </c>
      <c r="I11" s="10">
        <v>300</v>
      </c>
      <c r="J11" s="27">
        <f t="shared" si="1"/>
        <v>0</v>
      </c>
      <c r="K11" s="27">
        <f t="shared" si="2"/>
        <v>300</v>
      </c>
      <c r="L11" s="28">
        <f t="shared" si="3"/>
        <v>-300</v>
      </c>
    </row>
    <row r="12" spans="1:16" x14ac:dyDescent="0.2">
      <c r="A12" s="3" t="s">
        <v>22</v>
      </c>
      <c r="B12" s="4" t="s">
        <v>18</v>
      </c>
      <c r="C12" s="13" t="s">
        <v>27</v>
      </c>
      <c r="D12" s="6" t="s">
        <v>16</v>
      </c>
      <c r="E12" s="7">
        <f t="shared" si="0"/>
        <v>120</v>
      </c>
      <c r="F12" s="7">
        <v>5</v>
      </c>
      <c r="G12" s="8"/>
      <c r="H12" s="9">
        <v>5</v>
      </c>
      <c r="I12" s="10">
        <v>250</v>
      </c>
      <c r="J12" s="27">
        <f t="shared" si="1"/>
        <v>0</v>
      </c>
      <c r="K12" s="27">
        <f t="shared" si="2"/>
        <v>250</v>
      </c>
      <c r="L12" s="28">
        <f t="shared" si="3"/>
        <v>-250</v>
      </c>
    </row>
    <row r="13" spans="1:16" x14ac:dyDescent="0.2">
      <c r="A13" s="3" t="s">
        <v>17</v>
      </c>
      <c r="B13" s="4" t="s">
        <v>20</v>
      </c>
      <c r="C13" s="13" t="s">
        <v>28</v>
      </c>
      <c r="D13" s="6" t="s">
        <v>15</v>
      </c>
      <c r="E13" s="7">
        <f t="shared" si="0"/>
        <v>60</v>
      </c>
      <c r="F13" s="7">
        <v>3</v>
      </c>
      <c r="G13" s="8"/>
      <c r="H13" s="9">
        <v>5</v>
      </c>
      <c r="I13" s="10">
        <v>300</v>
      </c>
      <c r="J13" s="27">
        <f t="shared" si="1"/>
        <v>0</v>
      </c>
      <c r="K13" s="27">
        <f t="shared" si="2"/>
        <v>300</v>
      </c>
      <c r="L13" s="28">
        <f t="shared" si="3"/>
        <v>-300</v>
      </c>
    </row>
    <row r="14" spans="1:16" x14ac:dyDescent="0.2">
      <c r="A14" s="3" t="s">
        <v>11</v>
      </c>
      <c r="B14" s="5" t="s">
        <v>29</v>
      </c>
      <c r="C14" s="5" t="s">
        <v>30</v>
      </c>
      <c r="D14" s="6" t="s">
        <v>14</v>
      </c>
      <c r="E14" s="7">
        <f t="shared" si="0"/>
        <v>90</v>
      </c>
      <c r="F14" s="7">
        <v>5</v>
      </c>
      <c r="G14" s="8"/>
      <c r="H14" s="9">
        <v>5</v>
      </c>
      <c r="I14" s="10">
        <v>350</v>
      </c>
      <c r="J14" s="27">
        <f t="shared" si="1"/>
        <v>0</v>
      </c>
      <c r="K14" s="27">
        <f t="shared" si="2"/>
        <v>350</v>
      </c>
      <c r="L14" s="28">
        <f t="shared" si="3"/>
        <v>-350</v>
      </c>
    </row>
    <row r="15" spans="1:16" x14ac:dyDescent="0.2">
      <c r="A15" s="3" t="s">
        <v>17</v>
      </c>
      <c r="B15" s="5" t="s">
        <v>29</v>
      </c>
      <c r="C15" s="5" t="s">
        <v>30</v>
      </c>
      <c r="D15" s="6" t="s">
        <v>14</v>
      </c>
      <c r="E15" s="7">
        <f t="shared" si="0"/>
        <v>90</v>
      </c>
      <c r="F15" s="7">
        <v>5</v>
      </c>
      <c r="G15" s="8"/>
      <c r="H15" s="9">
        <v>5</v>
      </c>
      <c r="I15" s="10">
        <v>300</v>
      </c>
      <c r="J15" s="27">
        <f t="shared" si="1"/>
        <v>0</v>
      </c>
      <c r="K15" s="27">
        <f t="shared" si="2"/>
        <v>300</v>
      </c>
      <c r="L15" s="28">
        <f t="shared" si="3"/>
        <v>-300</v>
      </c>
    </row>
    <row r="16" spans="1:16" x14ac:dyDescent="0.2">
      <c r="A16" s="3" t="s">
        <v>22</v>
      </c>
      <c r="B16" s="5" t="s">
        <v>29</v>
      </c>
      <c r="C16" s="5" t="s">
        <v>30</v>
      </c>
      <c r="D16" s="6" t="s">
        <v>14</v>
      </c>
      <c r="E16" s="7">
        <f t="shared" si="0"/>
        <v>90</v>
      </c>
      <c r="F16" s="7">
        <v>5</v>
      </c>
      <c r="G16" s="8"/>
      <c r="H16" s="9">
        <v>5</v>
      </c>
      <c r="I16" s="10">
        <v>250</v>
      </c>
      <c r="J16" s="27">
        <f t="shared" si="1"/>
        <v>0</v>
      </c>
      <c r="K16" s="27">
        <f t="shared" si="2"/>
        <v>250</v>
      </c>
      <c r="L16" s="28">
        <f t="shared" si="3"/>
        <v>-250</v>
      </c>
    </row>
    <row r="17" spans="1:12" x14ac:dyDescent="0.2">
      <c r="A17" s="3" t="s">
        <v>11</v>
      </c>
      <c r="B17" s="5" t="s">
        <v>31</v>
      </c>
      <c r="C17" s="13" t="s">
        <v>32</v>
      </c>
      <c r="D17" s="6" t="s">
        <v>14</v>
      </c>
      <c r="E17" s="7">
        <f t="shared" si="0"/>
        <v>90</v>
      </c>
      <c r="F17" s="7">
        <v>4</v>
      </c>
      <c r="G17" s="8"/>
      <c r="H17" s="9">
        <v>5</v>
      </c>
      <c r="I17" s="10">
        <v>350</v>
      </c>
      <c r="J17" s="27">
        <f t="shared" si="1"/>
        <v>0</v>
      </c>
      <c r="K17" s="27">
        <f t="shared" si="2"/>
        <v>350</v>
      </c>
      <c r="L17" s="28">
        <f t="shared" si="3"/>
        <v>-350</v>
      </c>
    </row>
    <row r="18" spans="1:12" x14ac:dyDescent="0.2">
      <c r="A18" s="3" t="s">
        <v>17</v>
      </c>
      <c r="B18" s="5" t="s">
        <v>31</v>
      </c>
      <c r="C18" s="13" t="s">
        <v>32</v>
      </c>
      <c r="D18" s="6" t="s">
        <v>14</v>
      </c>
      <c r="E18" s="7">
        <f t="shared" si="0"/>
        <v>90</v>
      </c>
      <c r="F18" s="7">
        <v>4</v>
      </c>
      <c r="G18" s="8"/>
      <c r="H18" s="9">
        <v>4</v>
      </c>
      <c r="I18" s="10">
        <v>300</v>
      </c>
      <c r="J18" s="27">
        <f t="shared" si="1"/>
        <v>0</v>
      </c>
      <c r="K18" s="27">
        <f t="shared" si="2"/>
        <v>300</v>
      </c>
      <c r="L18" s="28">
        <f t="shared" si="3"/>
        <v>-300</v>
      </c>
    </row>
    <row r="19" spans="1:12" x14ac:dyDescent="0.2">
      <c r="A19" s="3" t="s">
        <v>22</v>
      </c>
      <c r="B19" s="5" t="s">
        <v>31</v>
      </c>
      <c r="C19" s="5" t="s">
        <v>33</v>
      </c>
      <c r="D19" s="6" t="s">
        <v>16</v>
      </c>
      <c r="E19" s="7">
        <f t="shared" si="0"/>
        <v>120</v>
      </c>
      <c r="F19" s="7">
        <v>4</v>
      </c>
      <c r="G19" s="8"/>
      <c r="H19" s="9">
        <v>5</v>
      </c>
      <c r="I19" s="10">
        <v>250</v>
      </c>
      <c r="J19" s="27">
        <f t="shared" si="1"/>
        <v>0</v>
      </c>
      <c r="K19" s="27">
        <f t="shared" si="2"/>
        <v>250</v>
      </c>
      <c r="L19" s="28">
        <f t="shared" si="3"/>
        <v>-250</v>
      </c>
    </row>
    <row r="20" spans="1:12" x14ac:dyDescent="0.2">
      <c r="A20" s="3" t="s">
        <v>11</v>
      </c>
      <c r="B20" s="5" t="s">
        <v>34</v>
      </c>
      <c r="C20" s="5" t="s">
        <v>35</v>
      </c>
      <c r="D20" s="6" t="s">
        <v>15</v>
      </c>
      <c r="E20" s="7">
        <f t="shared" si="0"/>
        <v>60</v>
      </c>
      <c r="F20" s="7">
        <v>3</v>
      </c>
      <c r="G20" s="8"/>
      <c r="H20" s="9">
        <v>5</v>
      </c>
      <c r="I20" s="10">
        <v>350</v>
      </c>
      <c r="J20" s="27">
        <f t="shared" si="1"/>
        <v>0</v>
      </c>
      <c r="K20" s="27">
        <f t="shared" si="2"/>
        <v>350</v>
      </c>
      <c r="L20" s="28">
        <f t="shared" si="3"/>
        <v>-350</v>
      </c>
    </row>
    <row r="21" spans="1:12" x14ac:dyDescent="0.2">
      <c r="A21" s="3" t="s">
        <v>17</v>
      </c>
      <c r="B21" s="5" t="s">
        <v>34</v>
      </c>
      <c r="C21" s="5" t="s">
        <v>35</v>
      </c>
      <c r="D21" s="6" t="s">
        <v>15</v>
      </c>
      <c r="E21" s="7">
        <f t="shared" si="0"/>
        <v>60</v>
      </c>
      <c r="F21" s="7">
        <v>3</v>
      </c>
      <c r="G21" s="8"/>
      <c r="H21" s="9">
        <v>5</v>
      </c>
      <c r="I21" s="10">
        <v>300</v>
      </c>
      <c r="J21" s="27">
        <f t="shared" si="1"/>
        <v>0</v>
      </c>
      <c r="K21" s="27">
        <f t="shared" si="2"/>
        <v>300</v>
      </c>
      <c r="L21" s="28">
        <f t="shared" si="3"/>
        <v>-300</v>
      </c>
    </row>
    <row r="22" spans="1:12" x14ac:dyDescent="0.2">
      <c r="A22" s="3" t="s">
        <v>22</v>
      </c>
      <c r="B22" s="5" t="s">
        <v>34</v>
      </c>
      <c r="C22" s="5" t="s">
        <v>36</v>
      </c>
      <c r="D22" s="6" t="s">
        <v>14</v>
      </c>
      <c r="E22" s="7">
        <f t="shared" si="0"/>
        <v>90</v>
      </c>
      <c r="F22" s="7">
        <v>3</v>
      </c>
      <c r="G22" s="8"/>
      <c r="H22" s="9">
        <v>5</v>
      </c>
      <c r="I22" s="10">
        <v>250</v>
      </c>
      <c r="J22" s="27">
        <f t="shared" si="1"/>
        <v>0</v>
      </c>
      <c r="K22" s="27">
        <f t="shared" si="2"/>
        <v>250</v>
      </c>
      <c r="L22" s="28">
        <f t="shared" si="3"/>
        <v>-250</v>
      </c>
    </row>
    <row r="23" spans="1:12" x14ac:dyDescent="0.2">
      <c r="A23" s="3" t="s">
        <v>22</v>
      </c>
      <c r="B23" s="5" t="s">
        <v>37</v>
      </c>
      <c r="C23" s="5" t="s">
        <v>38</v>
      </c>
      <c r="D23" s="6" t="s">
        <v>15</v>
      </c>
      <c r="E23" s="7">
        <f t="shared" si="0"/>
        <v>60</v>
      </c>
      <c r="F23" s="7">
        <v>4</v>
      </c>
      <c r="G23" s="8"/>
      <c r="H23" s="9">
        <v>6</v>
      </c>
      <c r="I23" s="10">
        <v>250</v>
      </c>
      <c r="J23" s="27">
        <f t="shared" si="1"/>
        <v>0</v>
      </c>
      <c r="K23" s="27">
        <f t="shared" si="2"/>
        <v>250</v>
      </c>
      <c r="L23" s="28">
        <f t="shared" si="3"/>
        <v>-250</v>
      </c>
    </row>
    <row r="24" spans="1:12" x14ac:dyDescent="0.2">
      <c r="A24" s="3" t="s">
        <v>11</v>
      </c>
      <c r="B24" s="5" t="s">
        <v>23</v>
      </c>
      <c r="C24" s="5" t="s">
        <v>39</v>
      </c>
      <c r="D24" s="6" t="s">
        <v>15</v>
      </c>
      <c r="E24" s="7">
        <f t="shared" si="0"/>
        <v>60</v>
      </c>
      <c r="F24" s="7">
        <v>6</v>
      </c>
      <c r="G24" s="8"/>
      <c r="H24" s="9">
        <v>4</v>
      </c>
      <c r="I24" s="10">
        <v>350</v>
      </c>
      <c r="J24" s="27">
        <f t="shared" si="1"/>
        <v>0</v>
      </c>
      <c r="K24" s="27">
        <f t="shared" si="2"/>
        <v>350</v>
      </c>
      <c r="L24" s="28">
        <f t="shared" si="3"/>
        <v>-350</v>
      </c>
    </row>
    <row r="25" spans="1:12" x14ac:dyDescent="0.2">
      <c r="A25" s="3" t="s">
        <v>22</v>
      </c>
      <c r="B25" s="5" t="s">
        <v>23</v>
      </c>
      <c r="C25" s="5" t="s">
        <v>39</v>
      </c>
      <c r="D25" s="6" t="s">
        <v>15</v>
      </c>
      <c r="E25" s="7">
        <f t="shared" si="0"/>
        <v>60</v>
      </c>
      <c r="F25" s="7">
        <v>6</v>
      </c>
      <c r="G25" s="8"/>
      <c r="H25" s="9">
        <v>4</v>
      </c>
      <c r="I25" s="10">
        <v>250</v>
      </c>
      <c r="J25" s="27">
        <f t="shared" si="1"/>
        <v>0</v>
      </c>
      <c r="K25" s="27">
        <f t="shared" si="2"/>
        <v>250</v>
      </c>
      <c r="L25" s="28">
        <f t="shared" si="3"/>
        <v>-250</v>
      </c>
    </row>
    <row r="26" spans="1:12" x14ac:dyDescent="0.2">
      <c r="A26" s="3" t="s">
        <v>22</v>
      </c>
      <c r="B26" s="4" t="s">
        <v>12</v>
      </c>
      <c r="C26" s="5" t="s">
        <v>40</v>
      </c>
      <c r="D26" s="6" t="s">
        <v>16</v>
      </c>
      <c r="E26" s="7">
        <f t="shared" si="0"/>
        <v>120</v>
      </c>
      <c r="F26" s="7">
        <v>5</v>
      </c>
      <c r="G26" s="8"/>
      <c r="H26" s="9">
        <v>4</v>
      </c>
      <c r="I26" s="10">
        <v>250</v>
      </c>
      <c r="J26" s="27">
        <f t="shared" si="1"/>
        <v>0</v>
      </c>
      <c r="K26" s="27">
        <f t="shared" si="2"/>
        <v>250</v>
      </c>
      <c r="L26" s="28">
        <f t="shared" si="3"/>
        <v>-250</v>
      </c>
    </row>
    <row r="27" spans="1:12" x14ac:dyDescent="0.2">
      <c r="A27" s="3" t="s">
        <v>11</v>
      </c>
      <c r="B27" s="5" t="s">
        <v>37</v>
      </c>
      <c r="C27" s="13" t="s">
        <v>41</v>
      </c>
      <c r="D27" s="6" t="s">
        <v>15</v>
      </c>
      <c r="E27" s="7">
        <f t="shared" si="0"/>
        <v>60</v>
      </c>
      <c r="F27" s="7">
        <v>4</v>
      </c>
      <c r="G27" s="8"/>
      <c r="H27" s="9">
        <v>7</v>
      </c>
      <c r="I27" s="10">
        <v>350</v>
      </c>
      <c r="J27" s="27">
        <f t="shared" si="1"/>
        <v>0</v>
      </c>
      <c r="K27" s="27">
        <f t="shared" si="2"/>
        <v>350</v>
      </c>
      <c r="L27" s="28">
        <f t="shared" si="3"/>
        <v>-350</v>
      </c>
    </row>
    <row r="28" spans="1:12" x14ac:dyDescent="0.2">
      <c r="A28" s="3" t="s">
        <v>17</v>
      </c>
      <c r="B28" s="5" t="s">
        <v>37</v>
      </c>
      <c r="C28" s="13" t="s">
        <v>41</v>
      </c>
      <c r="D28" s="6" t="s">
        <v>15</v>
      </c>
      <c r="E28" s="7">
        <f t="shared" si="0"/>
        <v>60</v>
      </c>
      <c r="F28" s="7">
        <v>4</v>
      </c>
      <c r="G28" s="8"/>
      <c r="H28" s="9">
        <v>7</v>
      </c>
      <c r="I28" s="10">
        <v>300</v>
      </c>
      <c r="J28" s="27">
        <f t="shared" si="1"/>
        <v>0</v>
      </c>
      <c r="K28" s="27">
        <f t="shared" si="2"/>
        <v>300</v>
      </c>
      <c r="L28" s="28">
        <f t="shared" si="3"/>
        <v>-300</v>
      </c>
    </row>
    <row r="29" spans="1:12" x14ac:dyDescent="0.2">
      <c r="A29" s="3" t="s">
        <v>11</v>
      </c>
      <c r="B29" s="4" t="s">
        <v>42</v>
      </c>
      <c r="C29" s="4" t="s">
        <v>43</v>
      </c>
      <c r="D29" s="6" t="s">
        <v>16</v>
      </c>
      <c r="E29" s="7">
        <f t="shared" si="0"/>
        <v>120</v>
      </c>
      <c r="F29" s="7">
        <v>4</v>
      </c>
      <c r="G29" s="8"/>
      <c r="H29" s="9">
        <v>5</v>
      </c>
      <c r="I29" s="10">
        <v>350</v>
      </c>
      <c r="J29" s="27">
        <f t="shared" si="1"/>
        <v>0</v>
      </c>
      <c r="K29" s="27">
        <f t="shared" si="2"/>
        <v>350</v>
      </c>
      <c r="L29" s="28">
        <f t="shared" si="3"/>
        <v>-350</v>
      </c>
    </row>
    <row r="30" spans="1:12" x14ac:dyDescent="0.2">
      <c r="A30" s="3" t="s">
        <v>17</v>
      </c>
      <c r="B30" s="4" t="s">
        <v>42</v>
      </c>
      <c r="C30" s="5" t="s">
        <v>44</v>
      </c>
      <c r="D30" s="6" t="s">
        <v>14</v>
      </c>
      <c r="E30" s="7">
        <f t="shared" si="0"/>
        <v>90</v>
      </c>
      <c r="F30" s="7">
        <v>4</v>
      </c>
      <c r="G30" s="8"/>
      <c r="H30" s="9">
        <v>4</v>
      </c>
      <c r="I30" s="10">
        <v>300</v>
      </c>
      <c r="J30" s="27">
        <f t="shared" si="1"/>
        <v>0</v>
      </c>
      <c r="K30" s="27">
        <f t="shared" si="2"/>
        <v>300</v>
      </c>
      <c r="L30" s="28">
        <f t="shared" si="3"/>
        <v>-300</v>
      </c>
    </row>
    <row r="31" spans="1:12" x14ac:dyDescent="0.2">
      <c r="A31" s="3" t="s">
        <v>22</v>
      </c>
      <c r="B31" s="4" t="s">
        <v>42</v>
      </c>
      <c r="C31" s="5" t="s">
        <v>44</v>
      </c>
      <c r="D31" s="6" t="s">
        <v>14</v>
      </c>
      <c r="E31" s="7">
        <f t="shared" si="0"/>
        <v>90</v>
      </c>
      <c r="F31" s="7">
        <v>4</v>
      </c>
      <c r="G31" s="8"/>
      <c r="H31" s="9">
        <v>5</v>
      </c>
      <c r="I31" s="10">
        <v>250</v>
      </c>
      <c r="J31" s="27">
        <f t="shared" si="1"/>
        <v>0</v>
      </c>
      <c r="K31" s="27">
        <f t="shared" si="2"/>
        <v>250</v>
      </c>
      <c r="L31" s="28">
        <f t="shared" si="3"/>
        <v>-250</v>
      </c>
    </row>
  </sheetData>
  <mergeCells count="1">
    <mergeCell ref="N1:P1"/>
  </mergeCells>
  <pageMargins left="0.75000000000000011" right="0.75000000000000011" top="1" bottom="1" header="0.5" footer="0.5"/>
  <pageSetup paperSize="9" fitToWidth="0" fitToHeight="0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7</vt:i4>
      </vt:variant>
      <vt:variant>
        <vt:lpstr>Nazwane zakresy</vt:lpstr>
      </vt:variant>
      <vt:variant>
        <vt:i4>1</vt:i4>
      </vt:variant>
    </vt:vector>
  </HeadingPairs>
  <TitlesOfParts>
    <vt:vector size="8" baseType="lpstr">
      <vt:lpstr>Stawki</vt:lpstr>
      <vt:lpstr>Stawki (2)</vt:lpstr>
      <vt:lpstr>Stawki (3)</vt:lpstr>
      <vt:lpstr>sprzedaz</vt:lpstr>
      <vt:lpstr>wyszukaj</vt:lpstr>
      <vt:lpstr>dane</vt:lpstr>
      <vt:lpstr>blokuj</vt:lpstr>
      <vt:lpstr>stawki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Drzewiecki</dc:creator>
  <cp:lastModifiedBy>Mariusz Staręga</cp:lastModifiedBy>
  <dcterms:created xsi:type="dcterms:W3CDTF">2004-11-14T09:16:18Z</dcterms:created>
  <dcterms:modified xsi:type="dcterms:W3CDTF">2026-09-16T08:55:13Z</dcterms:modified>
</cp:coreProperties>
</file>