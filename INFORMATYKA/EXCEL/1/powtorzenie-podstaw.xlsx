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tables/table2.xml" ContentType="application/vnd.openxmlformats-officedocument.spreadsheetml.table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7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are\Downloads\1\"/>
    </mc:Choice>
  </mc:AlternateContent>
  <xr:revisionPtr revIDLastSave="0" documentId="13_ncr:1_{877ECDD7-B255-41FD-B8C4-EA80FA174ED1}" xr6:coauthVersionLast="47" xr6:coauthVersionMax="47" xr10:uidLastSave="{00000000-0000-0000-0000-000000000000}"/>
  <bookViews>
    <workbookView xWindow="-120" yWindow="-120" windowWidth="29040" windowHeight="17520" firstSheet="1" activeTab="7" xr2:uid="{6AEF88D4-F7F3-4EA2-B2D5-8469FE7B2471}"/>
  </bookViews>
  <sheets>
    <sheet name="Spis treści" sheetId="8" r:id="rId1"/>
    <sheet name="Arkusz1" sheetId="1" r:id="rId2"/>
    <sheet name="Arkusz2" sheetId="2" r:id="rId3"/>
    <sheet name="Arkusz3" sheetId="3" r:id="rId4"/>
    <sheet name="Arkusz4" sheetId="4" r:id="rId5"/>
    <sheet name="Notowania" sheetId="5" r:id="rId6"/>
    <sheet name="Wedel i Żywiec" sheetId="6" r:id="rId7"/>
    <sheet name="Udział 30 listopada" sheetId="7" r:id="rId8"/>
  </sheets>
  <definedNames>
    <definedName name="_xlnm._FilterDatabase" localSheetId="4" hidden="1">Arkusz4!$A$2:$E$21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4" l="1"/>
  <c r="H4" i="4"/>
  <c r="H3" i="4"/>
  <c r="E28" i="3"/>
  <c r="G28" i="3" s="1"/>
  <c r="E27" i="3"/>
  <c r="G27" i="3" s="1"/>
  <c r="E26" i="3"/>
  <c r="G26" i="3" s="1"/>
  <c r="E25" i="3"/>
  <c r="G25" i="3" s="1"/>
  <c r="E24" i="3"/>
  <c r="G24" i="3" s="1"/>
  <c r="G29" i="3" s="1"/>
  <c r="E23" i="3"/>
  <c r="G23" i="3" s="1"/>
  <c r="E21" i="3"/>
  <c r="G21" i="3" s="1"/>
  <c r="E20" i="3"/>
  <c r="G20" i="3" s="1"/>
  <c r="E19" i="3"/>
  <c r="G19" i="3" s="1"/>
  <c r="E18" i="3"/>
  <c r="G18" i="3" s="1"/>
  <c r="E17" i="3"/>
  <c r="G17" i="3" s="1"/>
  <c r="G22" i="3" s="1"/>
  <c r="E15" i="3"/>
  <c r="G15" i="3" s="1"/>
  <c r="E14" i="3"/>
  <c r="G14" i="3" s="1"/>
  <c r="E13" i="3"/>
  <c r="G13" i="3" s="1"/>
  <c r="E12" i="3"/>
  <c r="G12" i="3" s="1"/>
  <c r="E11" i="3"/>
  <c r="G11" i="3" s="1"/>
  <c r="E10" i="3"/>
  <c r="G10" i="3" s="1"/>
  <c r="E9" i="3"/>
  <c r="G9" i="3" s="1"/>
  <c r="E8" i="3"/>
  <c r="G8" i="3" s="1"/>
  <c r="E7" i="3"/>
  <c r="G7" i="3" s="1"/>
  <c r="E6" i="3"/>
  <c r="G6" i="3" s="1"/>
  <c r="E5" i="3"/>
  <c r="G5" i="3" s="1"/>
  <c r="E4" i="3"/>
  <c r="G4" i="3" s="1"/>
  <c r="E3" i="3"/>
  <c r="G3" i="3" s="1"/>
  <c r="E2" i="3"/>
  <c r="G2" i="3" s="1"/>
  <c r="J31" i="2"/>
  <c r="L6" i="2"/>
  <c r="M6" i="2"/>
  <c r="N6" i="2"/>
  <c r="L7" i="2"/>
  <c r="M7" i="2"/>
  <c r="N7" i="2"/>
  <c r="L8" i="2"/>
  <c r="M8" i="2"/>
  <c r="N8" i="2"/>
  <c r="L9" i="2"/>
  <c r="M9" i="2"/>
  <c r="N9" i="2"/>
  <c r="L10" i="2"/>
  <c r="M10" i="2"/>
  <c r="N10" i="2"/>
  <c r="L11" i="2"/>
  <c r="M11" i="2"/>
  <c r="N11" i="2"/>
  <c r="L12" i="2"/>
  <c r="M12" i="2"/>
  <c r="N12" i="2"/>
  <c r="L13" i="2"/>
  <c r="M13" i="2"/>
  <c r="N13" i="2"/>
  <c r="L14" i="2"/>
  <c r="M14" i="2"/>
  <c r="N14" i="2"/>
  <c r="L15" i="2"/>
  <c r="M15" i="2"/>
  <c r="N15" i="2"/>
  <c r="L16" i="2"/>
  <c r="M16" i="2"/>
  <c r="N16" i="2"/>
  <c r="L17" i="2"/>
  <c r="M17" i="2"/>
  <c r="N17" i="2"/>
  <c r="L18" i="2"/>
  <c r="M18" i="2"/>
  <c r="N18" i="2"/>
  <c r="L19" i="2"/>
  <c r="M19" i="2"/>
  <c r="N19" i="2"/>
  <c r="L20" i="2"/>
  <c r="M20" i="2"/>
  <c r="N20" i="2"/>
  <c r="L21" i="2"/>
  <c r="M21" i="2"/>
  <c r="N21" i="2"/>
  <c r="L22" i="2"/>
  <c r="M22" i="2"/>
  <c r="N22" i="2"/>
  <c r="L23" i="2"/>
  <c r="M23" i="2"/>
  <c r="N23" i="2"/>
  <c r="L24" i="2"/>
  <c r="M24" i="2"/>
  <c r="N24" i="2"/>
  <c r="L25" i="2"/>
  <c r="M25" i="2"/>
  <c r="N25" i="2"/>
  <c r="L26" i="2"/>
  <c r="M26" i="2"/>
  <c r="N26" i="2"/>
  <c r="L27" i="2"/>
  <c r="M27" i="2"/>
  <c r="N27" i="2"/>
  <c r="L28" i="2"/>
  <c r="M28" i="2"/>
  <c r="N28" i="2"/>
  <c r="L29" i="2"/>
  <c r="M29" i="2"/>
  <c r="N29" i="2"/>
  <c r="L30" i="2"/>
  <c r="M30" i="2"/>
  <c r="N30" i="2"/>
  <c r="L31" i="2"/>
  <c r="M31" i="2"/>
  <c r="N31" i="2"/>
  <c r="G2" i="1"/>
  <c r="G16" i="1"/>
  <c r="I16" i="1" s="1"/>
  <c r="G3" i="1"/>
  <c r="G17" i="1"/>
  <c r="G4" i="1"/>
  <c r="G5" i="1"/>
  <c r="G6" i="1"/>
  <c r="I6" i="1" s="1"/>
  <c r="G7" i="1"/>
  <c r="I7" i="1" s="1"/>
  <c r="G22" i="1"/>
  <c r="I22" i="1" s="1"/>
  <c r="G23" i="1"/>
  <c r="I23" i="1" s="1"/>
  <c r="G24" i="1"/>
  <c r="I24" i="1" s="1"/>
  <c r="G8" i="1"/>
  <c r="I8" i="1" s="1"/>
  <c r="G9" i="1"/>
  <c r="I9" i="1" s="1"/>
  <c r="G10" i="1"/>
  <c r="I10" i="1" s="1"/>
  <c r="G11" i="1"/>
  <c r="I11" i="1" s="1"/>
  <c r="G12" i="1"/>
  <c r="I12" i="1" s="1"/>
  <c r="G25" i="1"/>
  <c r="I25" i="1" s="1"/>
  <c r="G26" i="1"/>
  <c r="I26" i="1" s="1"/>
  <c r="G18" i="1"/>
  <c r="I18" i="1" s="1"/>
  <c r="G19" i="1"/>
  <c r="I19" i="1" s="1"/>
  <c r="G13" i="1"/>
  <c r="I13" i="1" s="1"/>
  <c r="G20" i="1"/>
  <c r="I20" i="1" s="1"/>
  <c r="G14" i="1"/>
  <c r="I14" i="1" s="1"/>
  <c r="G15" i="1"/>
  <c r="I15" i="1" s="1"/>
  <c r="G21" i="1"/>
  <c r="I21" i="1" s="1"/>
  <c r="I2" i="1"/>
  <c r="I3" i="1"/>
  <c r="I17" i="1"/>
  <c r="I4" i="1"/>
  <c r="I5" i="1"/>
  <c r="E23" i="1"/>
  <c r="E9" i="1"/>
  <c r="E7" i="1"/>
  <c r="E15" i="1"/>
  <c r="E12" i="1"/>
  <c r="E17" i="1"/>
  <c r="E24" i="1"/>
  <c r="E22" i="1"/>
  <c r="E18" i="1"/>
  <c r="E5" i="1"/>
  <c r="E4" i="1"/>
  <c r="E25" i="1"/>
  <c r="E14" i="1"/>
  <c r="E11" i="1"/>
  <c r="E21" i="1"/>
  <c r="E2" i="1"/>
  <c r="E6" i="1"/>
  <c r="E3" i="1"/>
  <c r="E10" i="1"/>
  <c r="E16" i="1"/>
  <c r="E19" i="1"/>
  <c r="E8" i="1"/>
  <c r="E20" i="1"/>
  <c r="E13" i="1"/>
  <c r="E26" i="1"/>
  <c r="E16" i="3" l="1"/>
  <c r="G16" i="3"/>
  <c r="G30" i="3" s="1"/>
  <c r="E22" i="3"/>
  <c r="E29" i="3"/>
  <c r="H11" i="1"/>
  <c r="H19" i="1"/>
  <c r="H10" i="1"/>
  <c r="H25" i="1"/>
  <c r="H5" i="1"/>
  <c r="H23" i="1"/>
  <c r="H4" i="1"/>
  <c r="H17" i="1"/>
  <c r="H16" i="1"/>
  <c r="H3" i="1"/>
  <c r="H7" i="1"/>
  <c r="H9" i="1"/>
  <c r="H14" i="1"/>
  <c r="H8" i="1"/>
  <c r="H21" i="1"/>
  <c r="H22" i="1"/>
  <c r="H6" i="1"/>
  <c r="H20" i="1"/>
  <c r="H2" i="1"/>
  <c r="H15" i="1"/>
  <c r="H13" i="1"/>
  <c r="H24" i="1"/>
  <c r="H18" i="1"/>
  <c r="H26" i="1"/>
  <c r="H12" i="1"/>
  <c r="E30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80C13C7-199A-484C-A084-9565FF7ECC99}" keepAlive="1" name="Zapytanie — notowania" description="Połączenie z zapytaniem „notowania” w skoroszycie." type="5" refreshedVersion="0" background="1">
    <dbPr connection="Provider=Microsoft.Mashup.OleDb.1;Data Source=$Workbook$;Location=notowania;Extended Properties=&quot;&quot;" command="SELECT * FROM [notowania]"/>
  </connection>
  <connection id="2" xr16:uid="{315B919C-E064-4157-A646-67AE75E04247}" keepAlive="1" name="Zapytanie — notowania (2)" description="Połączenie z zapytaniem „notowania (2)” w skoroszycie." type="5" refreshedVersion="0" background="1">
    <dbPr connection="Provider=Microsoft.Mashup.OleDb.1;Data Source=$Workbook$;Location=&quot;notowania (2)&quot;;Extended Properties=&quot;&quot;" command="SELECT * FROM [notowania (2)]"/>
  </connection>
  <connection id="3" xr16:uid="{29DD2334-81A9-4133-A567-222C8A1630EB}" keepAlive="1" name="Zapytanie — notowania (3)" description="Połączenie z zapytaniem „notowania (3)” w skoroszycie." type="5" refreshedVersion="7" background="1" saveData="1">
    <dbPr connection="Provider=Microsoft.Mashup.OleDb.1;Data Source=$Workbook$;Location=&quot;notowania (3)&quot;;Extended Properties=&quot;&quot;" command="SELECT * FROM [notowania (3)]"/>
  </connection>
  <connection id="4" xr16:uid="{D71F1FDC-6E95-40D0-A9FB-AB404E46BF63}" keepAlive="1" name="Zapytanie — notowania (4)" description="Połączenie z zapytaniem „notowania (4)” w skoroszycie." type="5" refreshedVersion="7" background="1" saveData="1">
    <dbPr connection="Provider=Microsoft.Mashup.OleDb.1;Data Source=$Workbook$;Location=&quot;notowania (4)&quot;;Extended Properties=&quot;&quot;" command="SELECT * FROM [notowania (4)]"/>
  </connection>
  <connection id="5" xr16:uid="{E280D997-1624-4534-94EE-94A25901F400}" keepAlive="1" name="Zapytanie — notowania-gielda" description="Połączenie z zapytaniem „notowania-gielda” w skoroszycie." type="5" refreshedVersion="0" background="1">
    <dbPr connection="Provider=Microsoft.Mashup.OleDb.1;Data Source=$Workbook$;Location=notowania-gielda;Extended Properties=&quot;&quot;" command="SELECT * FROM [notowania-gielda]"/>
  </connection>
</connections>
</file>

<file path=xl/sharedStrings.xml><?xml version="1.0" encoding="utf-8"?>
<sst xmlns="http://schemas.openxmlformats.org/spreadsheetml/2006/main" count="308" uniqueCount="128">
  <si>
    <t>magazyn</t>
  </si>
  <si>
    <t>nazwa produktu</t>
  </si>
  <si>
    <t>dostawa [ilość sztuk]</t>
  </si>
  <si>
    <t>sprzedaż [ilość sztuk]</t>
  </si>
  <si>
    <t>cena hurtowa [1 szt.]</t>
  </si>
  <si>
    <t>cena detaliczna [1 szt.]</t>
  </si>
  <si>
    <t>stan magazynowy [ilość sztuk]</t>
  </si>
  <si>
    <t>M1</t>
  </si>
  <si>
    <t>M2</t>
  </si>
  <si>
    <t>M3</t>
  </si>
  <si>
    <t>okładka A5 kolorowa</t>
  </si>
  <si>
    <t>okładka A5 przezroczysta</t>
  </si>
  <si>
    <t>cyrkiel</t>
  </si>
  <si>
    <t>ołowek HB</t>
  </si>
  <si>
    <t>ołowek H1</t>
  </si>
  <si>
    <t>ołowek H2</t>
  </si>
  <si>
    <t>ołowek B1</t>
  </si>
  <si>
    <t>długopis niebieski</t>
  </si>
  <si>
    <t>długopis czerwony</t>
  </si>
  <si>
    <t>długopis zielony</t>
  </si>
  <si>
    <t>długopis czarny</t>
  </si>
  <si>
    <t>linijka 21 cm</t>
  </si>
  <si>
    <t>linijka 30 cm</t>
  </si>
  <si>
    <t>linijka 50 cm</t>
  </si>
  <si>
    <t>linijka 30 cm metalowa</t>
  </si>
  <si>
    <t>zeszyt 32k kratka</t>
  </si>
  <si>
    <t>zeszyt 32k linijka</t>
  </si>
  <si>
    <t>zeszyt 96k linijka</t>
  </si>
  <si>
    <t>zeszyt 96k kratka</t>
  </si>
  <si>
    <t>zeszyt 60k linijka</t>
  </si>
  <si>
    <t>zeszyt 60k kratka</t>
  </si>
  <si>
    <t>zakreślacz</t>
  </si>
  <si>
    <t>segregator</t>
  </si>
  <si>
    <t>pędzel mały</t>
  </si>
  <si>
    <t>pędzel duży</t>
  </si>
  <si>
    <t>marża</t>
  </si>
  <si>
    <t>kurs</t>
  </si>
  <si>
    <t>euro</t>
  </si>
  <si>
    <t>usd</t>
  </si>
  <si>
    <t>Stan magazynu sprzętu RTV</t>
  </si>
  <si>
    <t>Typ sprzętu</t>
  </si>
  <si>
    <t>Cena</t>
  </si>
  <si>
    <t>Ilość</t>
  </si>
  <si>
    <t>Telewizor</t>
  </si>
  <si>
    <t>Otake</t>
  </si>
  <si>
    <t>Panasonic</t>
  </si>
  <si>
    <t>Sony</t>
  </si>
  <si>
    <t>JVC</t>
  </si>
  <si>
    <t>Daewoo</t>
  </si>
  <si>
    <t>Sanyo</t>
  </si>
  <si>
    <t>Unimor</t>
  </si>
  <si>
    <t>Curtis</t>
  </si>
  <si>
    <t>Royal</t>
  </si>
  <si>
    <t>Sharp</t>
  </si>
  <si>
    <t>Watson</t>
  </si>
  <si>
    <t>Nintendo</t>
  </si>
  <si>
    <t>uah</t>
  </si>
  <si>
    <t>dochód</t>
  </si>
  <si>
    <t>wartość magazynu</t>
  </si>
  <si>
    <t>Lp.</t>
  </si>
  <si>
    <t>cena EURO</t>
  </si>
  <si>
    <t>cena USD</t>
  </si>
  <si>
    <t>cena UAH</t>
  </si>
  <si>
    <t>M96</t>
  </si>
  <si>
    <t>mokry plastik dźwig</t>
  </si>
  <si>
    <t>Suma częściowa</t>
  </si>
  <si>
    <t>RAZEM</t>
  </si>
  <si>
    <t>Suma końcowa</t>
  </si>
  <si>
    <t>PSP</t>
  </si>
  <si>
    <t>PS4</t>
  </si>
  <si>
    <t>xBox</t>
  </si>
  <si>
    <t>One</t>
  </si>
  <si>
    <t>Series</t>
  </si>
  <si>
    <t>Konsola</t>
  </si>
  <si>
    <t>Odtwarzacz</t>
  </si>
  <si>
    <t>Marka</t>
  </si>
  <si>
    <t>Model</t>
  </si>
  <si>
    <t>Średnia cena</t>
  </si>
  <si>
    <t>Notowania spółek</t>
  </si>
  <si>
    <t>Dane źródłowe zaimportowane z pliku notowania.csv</t>
  </si>
  <si>
    <t>spółka</t>
  </si>
  <si>
    <t>18 list</t>
  </si>
  <si>
    <t>22 list</t>
  </si>
  <si>
    <t>25 list</t>
  </si>
  <si>
    <t>28 list</t>
  </si>
  <si>
    <t>30 list</t>
  </si>
  <si>
    <t>Tonsil</t>
  </si>
  <si>
    <t>Próchnik</t>
  </si>
  <si>
    <t>Krosno</t>
  </si>
  <si>
    <t>BSK</t>
  </si>
  <si>
    <t>BPH</t>
  </si>
  <si>
    <t>Żywiec</t>
  </si>
  <si>
    <t>KGHM</t>
  </si>
  <si>
    <t>Dębica</t>
  </si>
  <si>
    <t>Polifarb</t>
  </si>
  <si>
    <t>Kable</t>
  </si>
  <si>
    <t>Wedel</t>
  </si>
  <si>
    <t>Notowania Wedel i Żywiec</t>
  </si>
  <si>
    <t>Porównanie wartości spółek podczas pięciu listopadowych sesji</t>
  </si>
  <si>
    <t>Dzień</t>
  </si>
  <si>
    <t>18 listopada</t>
  </si>
  <si>
    <t>22 listopada</t>
  </si>
  <si>
    <t>25 listopada</t>
  </si>
  <si>
    <t>28 listopada</t>
  </si>
  <si>
    <t>30 listopada</t>
  </si>
  <si>
    <t>Udział spółek — 30 listopada</t>
  </si>
  <si>
    <t>Procentowy udział każdej spółki w łącznej wartości notowań tego dnia</t>
  </si>
  <si>
    <t>Spółka</t>
  </si>
  <si>
    <t>Skoroszyt analiz magazynowych i notowań</t>
  </si>
  <si>
    <t>Spis treści i szybka nawigacja po arkuszach</t>
  </si>
  <si>
    <t>ARKUSZ</t>
  </si>
  <si>
    <t>ZAWARTOŚĆ</t>
  </si>
  <si>
    <t>Arkusz1</t>
  </si>
  <si>
    <t>Dane magazynowe, sprzedaż, ceny i dochód</t>
  </si>
  <si>
    <t>Arkusz2</t>
  </si>
  <si>
    <t>Przeliczenia cen na waluty obce</t>
  </si>
  <si>
    <t>Arkusz3</t>
  </si>
  <si>
    <t>Wartość magazynu i sumy częściowe</t>
  </si>
  <si>
    <t>Arkusz4</t>
  </si>
  <si>
    <t>Stan magazynu sprzętu RTV i średnie ceny</t>
  </si>
  <si>
    <t>Notowania</t>
  </si>
  <si>
    <t>Dane zaimportowane z pliku notowania.csv</t>
  </si>
  <si>
    <t>Wedel i Żywiec</t>
  </si>
  <si>
    <t>Wykres liniowy porównujący notowania</t>
  </si>
  <si>
    <t>Udział 30 listopada</t>
  </si>
  <si>
    <t>Wykres kołowy udziałów procentowych</t>
  </si>
  <si>
    <t>Spis treści</t>
  </si>
  <si>
    <t>Bieżący arkusz nawigacyjny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</si>
</sst>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\ &quot;zł&quot;"/>
    <numFmt numFmtId="165" formatCode="#,##0.000\ &quot;zł&quot;"/>
    <numFmt numFmtId="166" formatCode="#,##0.00\ [$zł-415]"/>
    <numFmt numFmtId="170" formatCode="[$€-2]#,##0.00"/>
    <numFmt numFmtId="171" formatCode="[$$-409]#,##0.00"/>
    <numFmt numFmtId="172" formatCode="[$₴-422]#,##0.00"/>
    <numFmt numFmtId="173" formatCode="#,##0\ [$zł-415]"/>
  </numFmts>
  <fonts count="10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b/>
      <sz val="11"/>
      <color rgb="FFFFFFFF"/>
      <name val="Calibri"/>
      <family val="2"/>
      <charset val="238"/>
      <scheme val="minor"/>
    </font>
    <font>
      <b/>
      <sz val="16"/>
      <color rgb="FFFFFFFF"/>
      <name val="Calibri"/>
      <family val="2"/>
      <charset val="238"/>
      <scheme val="minor"/>
    </font>
    <font>
      <b/>
      <sz val="18"/>
      <color rgb="FFFFFFFF"/>
      <name val="Calibri"/>
      <family val="2"/>
      <charset val="238"/>
      <scheme val="minor"/>
    </font>
    <font>
      <i/>
      <sz val="11"/>
      <color rgb="FF666666"/>
      <name val="Calibri"/>
      <family val="2"/>
      <charset val="238"/>
      <scheme val="minor"/>
    </font>
    <font>
      <i/>
      <sz val="10"/>
      <color rgb="FF666666"/>
      <name val="Calibri"/>
      <family val="2"/>
      <charset val="238"/>
      <scheme val="minor"/>
    </font>
    <font>
      <b/>
      <sz val="11"/>
      <color rgb="FF1F4E78"/>
      <name val="Calibri"/>
      <family val="2"/>
      <charset val="238"/>
      <scheme val="minor"/>
    </font>
    <font>
      <sz val="11"/>
      <color rgb="FF404040"/>
      <name val="Calibri"/>
      <family val="2"/>
      <charset val="23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5B9BD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2" borderId="1" xfId="0" applyFill="1" applyBorder="1"/>
    <xf numFmtId="9" fontId="0" fillId="2" borderId="2" xfId="0" applyNumberFormat="1" applyFill="1" applyBorder="1"/>
    <xf numFmtId="0" fontId="0" fillId="3" borderId="3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164" fontId="0" fillId="3" borderId="4" xfId="0" applyNumberFormat="1" applyFill="1" applyBorder="1"/>
    <xf numFmtId="165" fontId="0" fillId="3" borderId="5" xfId="0" applyNumberFormat="1" applyFill="1" applyBorder="1"/>
    <xf numFmtId="0" fontId="0" fillId="0" borderId="0" xfId="0" applyAlignment="1"/>
    <xf numFmtId="0" fontId="1" fillId="4" borderId="9" xfId="0" applyFont="1" applyFill="1" applyBorder="1"/>
    <xf numFmtId="0" fontId="1" fillId="4" borderId="9" xfId="0" applyFont="1" applyFill="1" applyBorder="1" applyAlignment="1">
      <alignment wrapText="1"/>
    </xf>
    <xf numFmtId="0" fontId="0" fillId="0" borderId="9" xfId="0" applyBorder="1" applyAlignment="1">
      <alignment wrapText="1"/>
    </xf>
    <xf numFmtId="0" fontId="0" fillId="0" borderId="9" xfId="0" applyBorder="1"/>
    <xf numFmtId="164" fontId="0" fillId="0" borderId="9" xfId="0" applyNumberFormat="1" applyBorder="1"/>
    <xf numFmtId="0" fontId="0" fillId="0" borderId="0" xfId="0" applyNumberFormat="1"/>
    <xf numFmtId="1" fontId="0" fillId="0" borderId="0" xfId="0" applyNumberFormat="1"/>
    <xf numFmtId="166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0" fontId="3" fillId="5" borderId="0" xfId="0" applyFont="1" applyFill="1" applyBorder="1" applyAlignment="1">
      <alignment horizontal="center" vertical="center" wrapText="1"/>
    </xf>
    <xf numFmtId="3" fontId="0" fillId="0" borderId="0" xfId="0" applyNumberFormat="1" applyBorder="1" applyAlignment="1">
      <alignment horizontal="right"/>
    </xf>
    <xf numFmtId="166" fontId="0" fillId="0" borderId="0" xfId="0" applyNumberFormat="1" applyBorder="1" applyAlignment="1">
      <alignment horizontal="right"/>
    </xf>
    <xf numFmtId="3" fontId="1" fillId="6" borderId="0" xfId="0" applyNumberFormat="1" applyFont="1" applyFill="1" applyBorder="1" applyAlignment="1">
      <alignment horizontal="right"/>
    </xf>
    <xf numFmtId="166" fontId="1" fillId="6" borderId="0" xfId="0" applyNumberFormat="1" applyFont="1" applyFill="1" applyBorder="1" applyAlignment="1">
      <alignment horizontal="right"/>
    </xf>
    <xf numFmtId="3" fontId="3" fillId="5" borderId="0" xfId="0" applyNumberFormat="1" applyFont="1" applyFill="1" applyBorder="1" applyAlignment="1">
      <alignment horizontal="right"/>
    </xf>
    <xf numFmtId="166" fontId="3" fillId="5" borderId="0" xfId="0" applyNumberFormat="1" applyFont="1" applyFill="1" applyBorder="1" applyAlignment="1">
      <alignment horizontal="right"/>
    </xf>
    <xf numFmtId="0" fontId="0" fillId="0" borderId="0" xfId="0" applyBorder="1" applyAlignment="1">
      <alignment horizontal="left"/>
    </xf>
    <xf numFmtId="0" fontId="1" fillId="6" borderId="0" xfId="0" applyFont="1" applyFill="1" applyBorder="1" applyAlignment="1">
      <alignment horizontal="left"/>
    </xf>
    <xf numFmtId="0" fontId="3" fillId="5" borderId="0" xfId="0" applyFont="1" applyFill="1" applyBorder="1" applyAlignment="1">
      <alignment horizontal="left"/>
    </xf>
    <xf numFmtId="0" fontId="4" fillId="5" borderId="0" xfId="0" applyFont="1" applyFill="1" applyAlignment="1">
      <alignment horizontal="center" vertical="center"/>
    </xf>
    <xf numFmtId="0" fontId="3" fillId="7" borderId="0" xfId="0" applyFont="1" applyFill="1"/>
    <xf numFmtId="0" fontId="3" fillId="7" borderId="0" xfId="0" applyFont="1" applyFill="1" applyAlignment="1">
      <alignment horizontal="center"/>
    </xf>
    <xf numFmtId="0" fontId="3" fillId="7" borderId="9" xfId="0" applyFont="1" applyFill="1" applyBorder="1" applyAlignment="1">
      <alignment horizontal="center"/>
    </xf>
    <xf numFmtId="166" fontId="0" fillId="0" borderId="9" xfId="0" applyNumberFormat="1" applyBorder="1" applyAlignment="1">
      <alignment horizontal="right"/>
    </xf>
    <xf numFmtId="1" fontId="0" fillId="0" borderId="9" xfId="0" applyNumberFormat="1" applyBorder="1" applyAlignment="1">
      <alignment horizontal="right"/>
    </xf>
    <xf numFmtId="0" fontId="0" fillId="0" borderId="9" xfId="0" applyBorder="1" applyAlignment="1"/>
    <xf numFmtId="166" fontId="0" fillId="0" borderId="9" xfId="0" applyNumberFormat="1" applyBorder="1" applyAlignment="1"/>
    <xf numFmtId="173" fontId="0" fillId="0" borderId="0" xfId="0" applyNumberFormat="1"/>
    <xf numFmtId="0" fontId="5" fillId="5" borderId="0" xfId="0" applyFont="1" applyFill="1" applyAlignment="1">
      <alignment horizontal="center"/>
    </xf>
    <xf numFmtId="0" fontId="5" fillId="5" borderId="0" xfId="0" applyFont="1" applyFill="1" applyAlignment="1">
      <alignment horizontal="center" vertic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8" fillId="0" borderId="0" xfId="0" applyFont="1"/>
    <xf numFmtId="0" fontId="9" fillId="0" borderId="0" xfId="0" applyFont="1"/>
  </cellXfs>
  <cellStyles count="1">
    <cellStyle name="Normalny" xfId="0" builtinId="0"/>
  </cellStyles>
  <dxfs count="18">
    <dxf>
      <font>
        <b/>
        <color rgb="FFFFFFFF"/>
      </font>
      <fill>
        <patternFill patternType="solid">
          <fgColor indexed="64"/>
          <bgColor rgb="FF5B9BD5"/>
        </patternFill>
      </fill>
      <alignment horizontal="center"/>
    </dxf>
    <dxf>
      <numFmt numFmtId="173" formatCode="#,##0\ [$zł-415]"/>
    </dxf>
    <dxf>
      <numFmt numFmtId="173" formatCode="#,##0\ [$zł-415]"/>
    </dxf>
    <dxf>
      <numFmt numFmtId="173" formatCode="#,##0\ [$zł-415]"/>
    </dxf>
    <dxf>
      <numFmt numFmtId="173" formatCode="#,##0\ [$zł-415]"/>
    </dxf>
    <dxf>
      <numFmt numFmtId="173" formatCode="#,##0\ [$zł-415]"/>
    </dxf>
    <dxf>
      <font>
        <color rgb="FFFFFFFF"/>
      </font>
      <fill>
        <patternFill patternType="solid">
          <fgColor indexed="64"/>
          <bgColor rgb="FFC00000"/>
        </patternFill>
      </fill>
    </dxf>
    <dxf>
      <numFmt numFmtId="172" formatCode="[$₴-422]#,##0.00"/>
    </dxf>
    <dxf>
      <numFmt numFmtId="171" formatCode="[$$-409]#,##0.00"/>
    </dxf>
    <dxf>
      <numFmt numFmtId="170" formatCode="[$€-2]#,##0.00"/>
    </dxf>
    <dxf>
      <alignment horizontal="center" vertical="center" wrapText="1"/>
    </dxf>
    <dxf>
      <numFmt numFmtId="166" formatCode="#,##0.00\ [$zł-415]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Notowania spółek Wedel i Żywiec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'Wedel i Żywiec'!$M$1</c:f>
              <c:strCache>
                <c:ptCount val="1"/>
                <c:pt idx="0">
                  <c:v>Wedel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numFmt formatCode="#.##0\ [$zł-415]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'Wedel i Żywiec'!$L$2:$L$6</c:f>
              <c:strCache>
                <c:ptCount val="5"/>
                <c:pt idx="0">
                  <c:v>18 listopada</c:v>
                </c:pt>
                <c:pt idx="1">
                  <c:v>22 listopada</c:v>
                </c:pt>
                <c:pt idx="2">
                  <c:v>25 listopada</c:v>
                </c:pt>
                <c:pt idx="3">
                  <c:v>28 listopada</c:v>
                </c:pt>
                <c:pt idx="4">
                  <c:v>30 listopada</c:v>
                </c:pt>
              </c:strCache>
            </c:strRef>
          </c:cat>
          <c:val>
            <c:numRef>
              <c:f>'Wedel i Żywiec'!$M$2:$M$6</c:f>
              <c:numCache>
                <c:formatCode>#\ ##0\ [$zł-415]</c:formatCode>
                <c:ptCount val="5"/>
                <c:pt idx="0">
                  <c:v>25000</c:v>
                </c:pt>
                <c:pt idx="1">
                  <c:v>27000</c:v>
                </c:pt>
                <c:pt idx="2">
                  <c:v>30000</c:v>
                </c:pt>
                <c:pt idx="3">
                  <c:v>30000</c:v>
                </c:pt>
                <c:pt idx="4">
                  <c:v>36000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07-42EA-B55B-59F46F3A6147}"/>
            </c:ext>
          </c:extLst>
        </c:ser>
        <c:ser>
          <c:idx val="1"/>
          <c:order val="1"/>
          <c:tx>
            <c:strRef>
              <c:f>'Wedel i Żywiec'!$N$1</c:f>
              <c:strCache>
                <c:ptCount val="1"/>
                <c:pt idx="0">
                  <c:v>Żywiec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numFmt formatCode="#.##0\ [$zł-415]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'Wedel i Żywiec'!$L$2:$L$6</c:f>
              <c:strCache>
                <c:ptCount val="5"/>
                <c:pt idx="0">
                  <c:v>18 listopada</c:v>
                </c:pt>
                <c:pt idx="1">
                  <c:v>22 listopada</c:v>
                </c:pt>
                <c:pt idx="2">
                  <c:v>25 listopada</c:v>
                </c:pt>
                <c:pt idx="3">
                  <c:v>28 listopada</c:v>
                </c:pt>
                <c:pt idx="4">
                  <c:v>30 listopada</c:v>
                </c:pt>
              </c:strCache>
            </c:strRef>
          </c:cat>
          <c:val>
            <c:numRef>
              <c:f>'Wedel i Żywiec'!$N$2:$N$6</c:f>
              <c:numCache>
                <c:formatCode>#\ ##0\ [$zł-415]</c:formatCode>
                <c:ptCount val="5"/>
                <c:pt idx="0">
                  <c:v>67314</c:v>
                </c:pt>
                <c:pt idx="1">
                  <c:v>69000</c:v>
                </c:pt>
                <c:pt idx="2">
                  <c:v>72000</c:v>
                </c:pt>
                <c:pt idx="3">
                  <c:v>68450</c:v>
                </c:pt>
                <c:pt idx="4">
                  <c:v>70001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07-42EA-B55B-59F46F3A61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3606752"/>
        <c:axId val="1368347792"/>
      </c:lineChart>
      <c:catAx>
        <c:axId val="11336067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Dzień listopada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68347792"/>
        <c:crosses val="autoZero"/>
        <c:auto val="1"/>
        <c:lblAlgn val="ctr"/>
        <c:lblOffset val="100"/>
        <c:noMultiLvlLbl val="0"/>
      </c:catAx>
      <c:valAx>
        <c:axId val="1368347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Wartość notowania (zł)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#.##0\ [$zł-415]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33606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Udział spółek w notowaniach 30 listopada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'Udział 30 listopada'!$M$1</c:f>
              <c:strCache>
                <c:ptCount val="1"/>
                <c:pt idx="0">
                  <c:v>30 listopada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numFmt formatCode="0\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'Udział 30 listopada'!$L$2:$L$12</c:f>
              <c:strCache>
                <c:ptCount val="11"/>
                <c:pt idx="0">
                  <c:v>Tonsil</c:v>
                </c:pt>
                <c:pt idx="1">
                  <c:v>Próchnik</c:v>
                </c:pt>
                <c:pt idx="2">
                  <c:v>Krosno</c:v>
                </c:pt>
                <c:pt idx="3">
                  <c:v>BSK</c:v>
                </c:pt>
                <c:pt idx="4">
                  <c:v>BPH</c:v>
                </c:pt>
                <c:pt idx="5">
                  <c:v>Żywiec</c:v>
                </c:pt>
                <c:pt idx="6">
                  <c:v>KGHM</c:v>
                </c:pt>
                <c:pt idx="7">
                  <c:v>Dębica</c:v>
                </c:pt>
                <c:pt idx="8">
                  <c:v>Polifarb</c:v>
                </c:pt>
                <c:pt idx="9">
                  <c:v>Kable</c:v>
                </c:pt>
                <c:pt idx="10">
                  <c:v>Wedel</c:v>
                </c:pt>
              </c:strCache>
            </c:strRef>
          </c:cat>
          <c:val>
            <c:numRef>
              <c:f>'Udział 30 listopada'!$M$2:$M$12</c:f>
              <c:numCache>
                <c:formatCode>#\ ##0\ [$zł-415]</c:formatCode>
                <c:ptCount val="11"/>
                <c:pt idx="0">
                  <c:v>65000</c:v>
                </c:pt>
                <c:pt idx="1">
                  <c:v>36000</c:v>
                </c:pt>
                <c:pt idx="2">
                  <c:v>13800</c:v>
                </c:pt>
                <c:pt idx="3">
                  <c:v>12300</c:v>
                </c:pt>
                <c:pt idx="4">
                  <c:v>188300</c:v>
                </c:pt>
                <c:pt idx="5">
                  <c:v>70001</c:v>
                </c:pt>
                <c:pt idx="6">
                  <c:v>21250</c:v>
                </c:pt>
                <c:pt idx="7">
                  <c:v>70000</c:v>
                </c:pt>
                <c:pt idx="8">
                  <c:v>22200</c:v>
                </c:pt>
                <c:pt idx="9">
                  <c:v>56000</c:v>
                </c:pt>
                <c:pt idx="10">
                  <c:v>36000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CC-441C-863C-CFB40466BD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361950</xdr:colOff>
      <xdr:row>1</xdr:row>
      <xdr:rowOff>19050</xdr:rowOff>
    </xdr:from>
    <xdr:to>
      <xdr:col>17</xdr:col>
      <xdr:colOff>190500</xdr:colOff>
      <xdr:row>18</xdr:row>
      <xdr:rowOff>57150</xdr:rowOff>
    </xdr:to>
    <xdr:sp macro="" textlink="">
      <xdr:nvSpPr>
        <xdr:cNvPr id="2" name="Prostokąt zaokrąglony 1">
          <a:extLst>
            <a:ext uri="{FF2B5EF4-FFF2-40B4-BE49-F238E27FC236}">
              <a16:creationId xmlns:a16="http://schemas.microsoft.com/office/drawing/2014/main" id="{4DE63AE6-B810-413F-8A13-4B6D4C5DB88A}"/>
            </a:ext>
          </a:extLst>
        </xdr:cNvPr>
        <xdr:cNvSpPr/>
      </xdr:nvSpPr>
      <xdr:spPr>
        <a:xfrm>
          <a:off x="7620000" y="209550"/>
          <a:ext cx="3486150" cy="32766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l-PL" sz="1100">
              <a:solidFill>
                <a:schemeClr val="tx1"/>
              </a:solidFill>
            </a:rPr>
            <a:t>Dostosuj szerokość kolumny B.</a:t>
          </a:r>
        </a:p>
        <a:p>
          <a:pPr algn="l"/>
          <a:r>
            <a:rPr lang="pl-PL" sz="1100">
              <a:solidFill>
                <a:schemeClr val="tx1"/>
              </a:solidFill>
            </a:rPr>
            <a:t>Ustaw zawijanie tekstu dla komórek C1:H1.</a:t>
          </a:r>
        </a:p>
        <a:p>
          <a:pPr algn="l"/>
          <a:r>
            <a:rPr lang="pl-PL" sz="1100">
              <a:solidFill>
                <a:schemeClr val="tx1"/>
              </a:solidFill>
            </a:rPr>
            <a:t>Oblicz stan magazynowy [dostawa-sprzedaż]</a:t>
          </a:r>
        </a:p>
        <a:p>
          <a:pPr algn="l"/>
          <a:r>
            <a:rPr lang="pl-PL" sz="1100">
              <a:solidFill>
                <a:schemeClr val="tx1"/>
              </a:solidFill>
            </a:rPr>
            <a:t>Oblicz cenę detaliczną [zwiększ</a:t>
          </a:r>
          <a:r>
            <a:rPr lang="pl-PL" sz="1100" baseline="0">
              <a:solidFill>
                <a:schemeClr val="tx1"/>
              </a:solidFill>
            </a:rPr>
            <a:t> cenę o wartość marży]</a:t>
          </a:r>
        </a:p>
        <a:p>
          <a:pPr algn="l"/>
          <a:r>
            <a:rPr lang="pl-PL" sz="1100" baseline="0">
              <a:solidFill>
                <a:schemeClr val="tx1"/>
              </a:solidFill>
            </a:rPr>
            <a:t>Oblicz dochód ze sprzedaży.</a:t>
          </a:r>
          <a:endParaRPr lang="pl-PL" sz="1100">
            <a:solidFill>
              <a:schemeClr val="tx1"/>
            </a:solidFill>
          </a:endParaRPr>
        </a:p>
        <a:p>
          <a:pPr algn="l"/>
          <a:r>
            <a:rPr lang="pl-PL" sz="1100">
              <a:solidFill>
                <a:schemeClr val="tx1"/>
              </a:solidFill>
            </a:rPr>
            <a:t>Przed kolumną dochód wstaw kolumnę wartość magazynu. Oblicz wartość na podstawie cen hurtowych.</a:t>
          </a:r>
        </a:p>
        <a:p>
          <a:pPr algn="l"/>
          <a:r>
            <a:rPr lang="pl-PL" sz="1100">
              <a:solidFill>
                <a:schemeClr val="tx1"/>
              </a:solidFill>
            </a:rPr>
            <a:t>Dla kolumn z cenami, dochodem i wartością ustaw</a:t>
          </a:r>
          <a:r>
            <a:rPr lang="pl-PL" sz="1100" baseline="0">
              <a:solidFill>
                <a:schemeClr val="tx1"/>
              </a:solidFill>
            </a:rPr>
            <a:t> formatowanie walutowe zł.</a:t>
          </a:r>
        </a:p>
        <a:p>
          <a:pPr algn="l"/>
          <a:r>
            <a:rPr lang="pl-PL" sz="1100" baseline="0">
              <a:solidFill>
                <a:schemeClr val="tx1"/>
              </a:solidFill>
            </a:rPr>
            <a:t>Ustaw obramowanie do zakresu danych A1:I26.</a:t>
          </a:r>
          <a:endParaRPr lang="pl-PL" sz="1100">
            <a:solidFill>
              <a:schemeClr val="tx1"/>
            </a:solidFill>
          </a:endParaRPr>
        </a:p>
        <a:p>
          <a:pPr algn="l"/>
          <a:r>
            <a:rPr lang="pl-PL" sz="1100">
              <a:solidFill>
                <a:schemeClr val="tx1"/>
              </a:solidFill>
            </a:rPr>
            <a:t>Posortuj dane wg magazynu.</a:t>
          </a:r>
        </a:p>
        <a:p>
          <a:pPr algn="l"/>
          <a:endParaRPr lang="pl-PL" sz="1100">
            <a:solidFill>
              <a:schemeClr val="tx1"/>
            </a:solidFill>
          </a:endParaRPr>
        </a:p>
        <a:p>
          <a:pPr algn="l"/>
          <a:endParaRPr lang="pl-PL" sz="1100">
            <a:solidFill>
              <a:schemeClr val="tx1"/>
            </a:solidFill>
          </a:endParaRPr>
        </a:p>
        <a:p>
          <a:pPr algn="l"/>
          <a:endParaRPr lang="pl-PL" sz="1100">
            <a:solidFill>
              <a:schemeClr val="tx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3</xdr:row>
      <xdr:rowOff>76199</xdr:rowOff>
    </xdr:from>
    <xdr:to>
      <xdr:col>21</xdr:col>
      <xdr:colOff>495300</xdr:colOff>
      <xdr:row>45</xdr:row>
      <xdr:rowOff>44823</xdr:rowOff>
    </xdr:to>
    <xdr:sp macro="" textlink="">
      <xdr:nvSpPr>
        <xdr:cNvPr id="2" name="Prostokąt zaokrąglony 1">
          <a:extLst>
            <a:ext uri="{FF2B5EF4-FFF2-40B4-BE49-F238E27FC236}">
              <a16:creationId xmlns:a16="http://schemas.microsoft.com/office/drawing/2014/main" id="{6C7E1D44-4FD4-451F-A3CE-E6736F5590AD}"/>
            </a:ext>
          </a:extLst>
        </xdr:cNvPr>
        <xdr:cNvSpPr/>
      </xdr:nvSpPr>
      <xdr:spPr>
        <a:xfrm>
          <a:off x="15375591" y="658905"/>
          <a:ext cx="3463738" cy="4182036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l-PL" sz="1100">
              <a:solidFill>
                <a:schemeClr val="tx1"/>
              </a:solidFill>
            </a:rPr>
            <a:t>Ustaw szerokość kolumn</a:t>
          </a:r>
          <a:r>
            <a:rPr lang="pl-PL" sz="1100" baseline="0">
              <a:solidFill>
                <a:schemeClr val="tx1"/>
              </a:solidFill>
            </a:rPr>
            <a:t> B:D na 8.</a:t>
          </a:r>
          <a:endParaRPr lang="pl-PL" sz="1100">
            <a:solidFill>
              <a:schemeClr val="tx1"/>
            </a:solidFill>
          </a:endParaRPr>
        </a:p>
        <a:p>
          <a:pPr algn="l"/>
          <a:r>
            <a:rPr lang="pl-PL" sz="1100">
              <a:solidFill>
                <a:schemeClr val="tx1"/>
              </a:solidFill>
            </a:rPr>
            <a:t>Skopiuj komórki</a:t>
          </a:r>
          <a:r>
            <a:rPr lang="pl-PL" sz="1100" baseline="0">
              <a:solidFill>
                <a:schemeClr val="tx1"/>
              </a:solidFill>
            </a:rPr>
            <a:t> A1:F26 z Arkusz1 </a:t>
          </a:r>
          <a:r>
            <a:rPr lang="pl-PL" sz="1100">
              <a:solidFill>
                <a:schemeClr val="tx1"/>
              </a:solidFill>
            </a:rPr>
            <a:t>i wklej w E5 jako wartości z formatami liczb.</a:t>
          </a:r>
        </a:p>
        <a:p>
          <a:pPr algn="l"/>
          <a:r>
            <a:rPr lang="pl-PL" sz="1100">
              <a:solidFill>
                <a:schemeClr val="tx1"/>
              </a:solidFill>
            </a:rPr>
            <a:t>Konwertuj wklejony zakres na tabelę. [Zaznacz zakres</a:t>
          </a:r>
          <a:r>
            <a:rPr lang="pl-PL" sz="1100" baseline="0">
              <a:solidFill>
                <a:schemeClr val="tx1"/>
              </a:solidFill>
            </a:rPr>
            <a:t> i skrót Ctrl+T].</a:t>
          </a:r>
        </a:p>
        <a:p>
          <a:pPr algn="l"/>
          <a:r>
            <a:rPr lang="pl-PL" sz="1100" baseline="0">
              <a:solidFill>
                <a:schemeClr val="tx1"/>
              </a:solidFill>
            </a:rPr>
            <a:t>Na lewo od kolumny magazyn dodaj kolumnę Lp. i uzupełnij liczbami 1,2,3,... korzystając z serii danych.</a:t>
          </a:r>
          <a:endParaRPr lang="pl-PL" sz="1100">
            <a:solidFill>
              <a:schemeClr val="tx1"/>
            </a:solidFill>
          </a:endParaRPr>
        </a:p>
        <a:p>
          <a:pPr algn="l"/>
          <a:r>
            <a:rPr lang="pl-PL" sz="1100">
              <a:solidFill>
                <a:schemeClr val="tx1"/>
              </a:solidFill>
            </a:rPr>
            <a:t>Na</a:t>
          </a:r>
          <a:r>
            <a:rPr lang="pl-PL" sz="1100" baseline="0">
              <a:solidFill>
                <a:schemeClr val="tx1"/>
              </a:solidFill>
            </a:rPr>
            <a:t> prawo od ceny hurtowej dodaj kolejne kolumny: cena EURO, cena USD, cena UAH.</a:t>
          </a:r>
        </a:p>
        <a:p>
          <a:pPr algn="l"/>
          <a:r>
            <a:rPr lang="pl-PL" sz="1100" baseline="0">
              <a:solidFill>
                <a:schemeClr val="tx1"/>
              </a:solidFill>
            </a:rPr>
            <a:t>Dla ceny EURO wpisz formulę obliczjącą cenę w EURO na podstawie kursu z komórki B2 w taki sposób aby po skopiowaniu tej formuły do kolumn cena USD i cena UAH tam pojawiły się właściwe formuły (użyj adresowania względnego,  bezwzględnego).</a:t>
          </a:r>
        </a:p>
        <a:p>
          <a:pPr algn="l"/>
          <a:r>
            <a:rPr lang="pl-PL" sz="1100" baseline="0">
              <a:solidFill>
                <a:schemeClr val="tx1"/>
              </a:solidFill>
            </a:rPr>
            <a:t>Ustaw odpowiednie formatowanie dla kolumn cena USD (dolar), cena EURO (euro), cena UAH (hrywna).</a:t>
          </a:r>
        </a:p>
        <a:p>
          <a:pPr algn="l"/>
          <a:r>
            <a:rPr lang="pl-PL" sz="1100" baseline="0">
              <a:solidFill>
                <a:schemeClr val="tx1"/>
              </a:solidFill>
            </a:rPr>
            <a:t>Na końcu zestawienia dodaj nowy produkt.</a:t>
          </a:r>
        </a:p>
        <a:p>
          <a:pPr algn="l"/>
          <a:r>
            <a:rPr lang="pl-PL" sz="1100" baseline="0">
              <a:solidFill>
                <a:schemeClr val="tx1"/>
              </a:solidFill>
            </a:rPr>
            <a:t>Korzystająć z filtrowania danych wyświetl produkty z magazynu M2.</a:t>
          </a:r>
          <a:endParaRPr lang="pl-PL" sz="1100">
            <a:solidFill>
              <a:schemeClr val="tx1"/>
            </a:solidFill>
          </a:endParaRPr>
        </a:p>
        <a:p>
          <a:pPr algn="l"/>
          <a:endParaRPr lang="pl-P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161925</xdr:colOff>
      <xdr:row>1</xdr:row>
      <xdr:rowOff>104775</xdr:rowOff>
    </xdr:from>
    <xdr:to>
      <xdr:col>17</xdr:col>
      <xdr:colOff>600075</xdr:colOff>
      <xdr:row>19</xdr:row>
      <xdr:rowOff>142875</xdr:rowOff>
    </xdr:to>
    <xdr:sp macro="" textlink="">
      <xdr:nvSpPr>
        <xdr:cNvPr id="2" name="Prostokąt zaokrąglony 1">
          <a:extLst>
            <a:ext uri="{FF2B5EF4-FFF2-40B4-BE49-F238E27FC236}">
              <a16:creationId xmlns:a16="http://schemas.microsoft.com/office/drawing/2014/main" id="{8880FB92-B351-4B38-B873-45E66092BA41}"/>
            </a:ext>
          </a:extLst>
        </xdr:cNvPr>
        <xdr:cNvSpPr/>
      </xdr:nvSpPr>
      <xdr:spPr>
        <a:xfrm>
          <a:off x="8086725" y="295275"/>
          <a:ext cx="3486150" cy="32766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l-PL" sz="1100">
              <a:solidFill>
                <a:schemeClr val="tx1"/>
              </a:solidFill>
            </a:rPr>
            <a:t>Skopij komórki</a:t>
          </a:r>
          <a:r>
            <a:rPr lang="pl-PL" sz="1100" baseline="0">
              <a:solidFill>
                <a:schemeClr val="tx1"/>
              </a:solidFill>
            </a:rPr>
            <a:t> A1:H26 z Arkusz1 </a:t>
          </a:r>
          <a:r>
            <a:rPr lang="pl-PL" sz="1100">
              <a:solidFill>
                <a:schemeClr val="tx1"/>
              </a:solidFill>
            </a:rPr>
            <a:t>i wklej w A1 bez obramowania.</a:t>
          </a:r>
        </a:p>
        <a:p>
          <a:pPr algn="l"/>
          <a:r>
            <a:rPr lang="pl-PL" sz="1100">
              <a:solidFill>
                <a:schemeClr val="tx1"/>
              </a:solidFill>
            </a:rPr>
            <a:t>Usuń kolumnę</a:t>
          </a:r>
          <a:r>
            <a:rPr lang="pl-PL" sz="1100" baseline="0">
              <a:solidFill>
                <a:schemeClr val="tx1"/>
              </a:solidFill>
            </a:rPr>
            <a:t> z cena detaliczną.</a:t>
          </a:r>
          <a:endParaRPr lang="pl-PL" sz="1100">
            <a:solidFill>
              <a:schemeClr val="tx1"/>
            </a:solidFill>
          </a:endParaRPr>
        </a:p>
        <a:p>
          <a:pPr algn="l"/>
          <a:r>
            <a:rPr lang="pl-PL" sz="1100">
              <a:solidFill>
                <a:schemeClr val="tx1"/>
              </a:solidFill>
            </a:rPr>
            <a:t>Skorzystaj</a:t>
          </a:r>
          <a:r>
            <a:rPr lang="pl-PL" sz="1100" baseline="0">
              <a:solidFill>
                <a:schemeClr val="tx1"/>
              </a:solidFill>
            </a:rPr>
            <a:t> z sum częściowych aby policzyć ile sztuk i o jakiej wartości jest na magazynach.</a:t>
          </a:r>
          <a:endParaRPr lang="pl-PL" sz="1100">
            <a:solidFill>
              <a:schemeClr val="tx1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142874</xdr:colOff>
      <xdr:row>1</xdr:row>
      <xdr:rowOff>85725</xdr:rowOff>
    </xdr:from>
    <xdr:to>
      <xdr:col>15</xdr:col>
      <xdr:colOff>95249</xdr:colOff>
      <xdr:row>21</xdr:row>
      <xdr:rowOff>0</xdr:rowOff>
    </xdr:to>
    <xdr:sp macro="" textlink="">
      <xdr:nvSpPr>
        <xdr:cNvPr id="2" name="Prostokąt zaokrąglony 1">
          <a:extLst>
            <a:ext uri="{FF2B5EF4-FFF2-40B4-BE49-F238E27FC236}">
              <a16:creationId xmlns:a16="http://schemas.microsoft.com/office/drawing/2014/main" id="{9D257964-F3A8-413C-8A88-B8DD5FE27F41}"/>
            </a:ext>
          </a:extLst>
        </xdr:cNvPr>
        <xdr:cNvSpPr/>
      </xdr:nvSpPr>
      <xdr:spPr>
        <a:xfrm>
          <a:off x="6095999" y="276225"/>
          <a:ext cx="3609975" cy="32766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l-PL" sz="1100">
              <a:solidFill>
                <a:schemeClr val="tx1"/>
              </a:solidFill>
            </a:rPr>
            <a:t>Scal komórki A1:D1.</a:t>
          </a:r>
        </a:p>
        <a:p>
          <a:pPr algn="l"/>
          <a:r>
            <a:rPr lang="pl-PL" sz="1100">
              <a:solidFill>
                <a:schemeClr val="tx1"/>
              </a:solidFill>
            </a:rPr>
            <a:t>Zamień "magnetowid" na</a:t>
          </a:r>
          <a:r>
            <a:rPr lang="pl-PL" sz="1100" baseline="0">
              <a:solidFill>
                <a:schemeClr val="tx1"/>
              </a:solidFill>
            </a:rPr>
            <a:t> "konsola", "radiomagnetofon" na "odtwarzacz".</a:t>
          </a:r>
        </a:p>
        <a:p>
          <a:pPr algn="l"/>
          <a:r>
            <a:rPr lang="pl-PL" sz="1100" baseline="0">
              <a:solidFill>
                <a:schemeClr val="tx1"/>
              </a:solidFill>
            </a:rPr>
            <a:t>Usuń duplikaty z zakresu danych.</a:t>
          </a:r>
        </a:p>
        <a:p>
          <a:pPr algn="l"/>
          <a:r>
            <a:rPr lang="pl-PL" sz="1100" baseline="0">
              <a:solidFill>
                <a:schemeClr val="tx1"/>
              </a:solidFill>
            </a:rPr>
            <a:t>Rozdziel kolumnę Marka Model na dwie. (Przed podziełem nalezy dodać pustą kolumne po prawej od Marka Model)</a:t>
          </a:r>
        </a:p>
        <a:p>
          <a:pPr algn="l"/>
          <a:r>
            <a:rPr lang="pl-PL" sz="1100" baseline="0">
              <a:solidFill>
                <a:schemeClr val="tx1"/>
              </a:solidFill>
            </a:rPr>
            <a:t>Używając kopiowania specjalnego zwiększ ceny o 50.</a:t>
          </a:r>
        </a:p>
        <a:p>
          <a:pPr algn="l"/>
          <a:r>
            <a:rPr lang="pl-PL" sz="1100" baseline="0">
              <a:solidFill>
                <a:schemeClr val="tx1"/>
              </a:solidFill>
            </a:rPr>
            <a:t>Użyj filtrowania aby wyświetlić produkty firmy Sony, których cena jest pomiędzy 1200-2000.</a:t>
          </a:r>
        </a:p>
        <a:p>
          <a:pPr algn="l"/>
          <a:r>
            <a:rPr lang="pl-PL" sz="1100" baseline="0">
              <a:solidFill>
                <a:schemeClr val="tx1"/>
              </a:solidFill>
            </a:rPr>
            <a:t>Usuń filtr.</a:t>
          </a:r>
        </a:p>
        <a:p>
          <a:pPr algn="l"/>
          <a:r>
            <a:rPr lang="pl-PL" sz="1100" baseline="0">
              <a:solidFill>
                <a:schemeClr val="tx1"/>
              </a:solidFill>
            </a:rPr>
            <a:t>Wyświetl telewizory, które są na stanie i cena jest większa od 2000.</a:t>
          </a:r>
        </a:p>
        <a:p>
          <a:pPr algn="l"/>
          <a:r>
            <a:rPr lang="pl-PL" sz="1100" baseline="0">
              <a:solidFill>
                <a:schemeClr val="tx1"/>
              </a:solidFill>
            </a:rPr>
            <a:t>Usuń filtr. </a:t>
          </a:r>
        </a:p>
        <a:p>
          <a:pPr algn="l"/>
          <a:r>
            <a:rPr lang="pl-PL" sz="1100" baseline="0">
              <a:solidFill>
                <a:schemeClr val="tx1"/>
              </a:solidFill>
            </a:rPr>
            <a:t>Wyznacz jaka jest średnia cena danego typu sprzętu. (Jeżeli korzystasz z sum częściowych to dane muszą być posortowane)</a:t>
          </a:r>
        </a:p>
        <a:p>
          <a:pPr algn="l"/>
          <a:r>
            <a:rPr lang="pl-PL" sz="1100" baseline="0">
              <a:solidFill>
                <a:schemeClr val="tx1"/>
              </a:solidFill>
            </a:rPr>
            <a:t>Sformatuj warunkowo dane w kolumnę ilość: jeżeli ilość =0 to kolor komórki czewony, biały tekst</a:t>
          </a:r>
        </a:p>
        <a:p>
          <a:pPr algn="l"/>
          <a:endParaRPr lang="pl-PL" sz="1100" baseline="0">
            <a:solidFill>
              <a:schemeClr val="tx1"/>
            </a:solidFill>
          </a:endParaRPr>
        </a:p>
        <a:p>
          <a:pPr algn="l"/>
          <a:endParaRPr lang="pl-PL" sz="1100">
            <a:solidFill>
              <a:schemeClr val="tx1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57150</xdr:colOff>
      <xdr:row>1</xdr:row>
      <xdr:rowOff>104775</xdr:rowOff>
    </xdr:from>
    <xdr:to>
      <xdr:col>15</xdr:col>
      <xdr:colOff>9525</xdr:colOff>
      <xdr:row>21</xdr:row>
      <xdr:rowOff>19050</xdr:rowOff>
    </xdr:to>
    <xdr:sp macro="" textlink="">
      <xdr:nvSpPr>
        <xdr:cNvPr id="2" name="Prostokąt zaokrąglony 1">
          <a:extLst>
            <a:ext uri="{FF2B5EF4-FFF2-40B4-BE49-F238E27FC236}">
              <a16:creationId xmlns:a16="http://schemas.microsoft.com/office/drawing/2014/main" id="{B4F1A8B3-1C86-457B-96AE-3ED8C576BA4A}"/>
            </a:ext>
          </a:extLst>
        </xdr:cNvPr>
        <xdr:cNvSpPr/>
      </xdr:nvSpPr>
      <xdr:spPr>
        <a:xfrm>
          <a:off x="5543550" y="295275"/>
          <a:ext cx="3609975" cy="3724275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l-PL" sz="1100">
              <a:solidFill>
                <a:schemeClr val="tx1"/>
              </a:solidFill>
            </a:rPr>
            <a:t>Zaimportuj dane z pliku notowania.csv</a:t>
          </a:r>
        </a:p>
        <a:p>
          <a:pPr algn="l"/>
          <a:r>
            <a:rPr lang="pl-PL" sz="1100">
              <a:solidFill>
                <a:schemeClr val="tx1"/>
              </a:solidFill>
            </a:rPr>
            <a:t>Utwórz jako nowy arkusz wykres liniowy porównujący notowania spółek Wedel</a:t>
          </a:r>
          <a:r>
            <a:rPr lang="pl-PL" sz="1100" baseline="0">
              <a:solidFill>
                <a:schemeClr val="tx1"/>
              </a:solidFill>
            </a:rPr>
            <a:t> i Żywiec w poszczególnych dniach.</a:t>
          </a:r>
        </a:p>
        <a:p>
          <a:pPr algn="l"/>
          <a:endParaRPr lang="pl-PL" sz="1100" baseline="0">
            <a:solidFill>
              <a:sysClr val="windowText" lastClr="000000"/>
            </a:solidFill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l-PL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Utwórz jako nowy arkusz wykres kołowy przedstawiający</a:t>
          </a:r>
          <a:r>
            <a:rPr lang="pl-PL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udział procentowy spółek w notowaniu  dnia 30 listopada. Ustaw jako etykiety wartości procentowe i nazwy spółek.</a:t>
          </a:r>
          <a:endParaRPr lang="pl-PL">
            <a:solidFill>
              <a:sysClr val="windowText" lastClr="000000"/>
            </a:solidFill>
            <a:effectLst/>
          </a:endParaRPr>
        </a:p>
        <a:p>
          <a:pPr algn="l"/>
          <a:endParaRPr lang="pl-PL" sz="1100" baseline="0">
            <a:solidFill>
              <a:schemeClr val="tx1"/>
            </a:solidFill>
          </a:endParaRPr>
        </a:p>
        <a:p>
          <a:pPr algn="l"/>
          <a:endParaRPr lang="pl-PL" sz="1100">
            <a:solidFill>
              <a:schemeClr val="tx1"/>
            </a:solidFill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10</xdr:col>
      <xdr:colOff>0</xdr:colOff>
      <xdr:row>23</xdr:row>
      <xdr:rowOff>0</xdr:rowOff>
    </xdr:to>
    <xdr:graphicFrame macro="">
      <xdr:nvGraphicFramePr>
        <xdr:cNvPr id="2" name="Wykres notowań Wedel i Żywiec">
          <a:extLst>
            <a:ext uri="{FF2B5EF4-FFF2-40B4-BE49-F238E27FC236}">
              <a16:creationId xmlns:a16="http://schemas.microsoft.com/office/drawing/2014/main" id="{ED61E793-2469-AD5A-A78C-ECB75DAE58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10</xdr:col>
      <xdr:colOff>0</xdr:colOff>
      <xdr:row>24</xdr:row>
      <xdr:rowOff>0</xdr:rowOff>
    </xdr:to>
    <xdr:graphicFrame macro="">
      <xdr:nvGraphicFramePr>
        <xdr:cNvPr id="3" name="Wykres udziału 30 listopada">
          <a:extLst>
            <a:ext uri="{FF2B5EF4-FFF2-40B4-BE49-F238E27FC236}">
              <a16:creationId xmlns:a16="http://schemas.microsoft.com/office/drawing/2014/main" id="{7EA74B16-0982-2B48-F4BD-08D4FDF780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772CFFE-0934-44E1-87CE-86B4396D1CA0}" name="Tabela2" displayName="Tabela2" ref="E5:N31" totalsRowShown="0" headerRowDxfId="10">
  <autoFilter ref="E5:N31" xr:uid="{E772CFFE-0934-44E1-87CE-86B4396D1CA0}"/>
  <tableColumns count="10">
    <tableColumn id="1" xr3:uid="{D98C24D6-3259-4960-9110-CE46D293D1BB}" name="Lp." dataDxfId="17"/>
    <tableColumn id="2" xr3:uid="{6016D0F7-E56A-4261-9543-6E63E5116963}" name="magazyn" dataDxfId="16"/>
    <tableColumn id="3" xr3:uid="{E06F4819-4A17-43CE-887F-5632FD0232A1}" name="nazwa produktu" dataDxfId="15"/>
    <tableColumn id="4" xr3:uid="{FA93D057-A09B-4A52-81BB-6D83C215958D}" name="dostawa [ilość sztuk]" dataDxfId="14"/>
    <tableColumn id="5" xr3:uid="{C438CE8B-71DE-494E-92A7-769D8CCFF260}" name="sprzedaż [ilość sztuk]" dataDxfId="13"/>
    <tableColumn id="6" xr3:uid="{7AC32DEF-35D6-4BE6-BC2A-5C386FAEF8B6}" name="stan magazynowy [ilość sztuk]" dataDxfId="12"/>
    <tableColumn id="7" xr3:uid="{B941949A-C3B3-450A-9818-FA53AEF45D10}" name="cena hurtowa [1 szt.]" dataDxfId="11"/>
    <tableColumn id="8" xr3:uid="{FD469705-4E6D-480E-9EBF-A49C5FF8D5E3}" name="cena EURO" dataDxfId="9">
      <calculatedColumnFormula>IF(OR($K6="",B$1=""),"",$K6/B$1)</calculatedColumnFormula>
    </tableColumn>
    <tableColumn id="9" xr3:uid="{C3ECB107-5E3A-4C54-B1D0-51BB11404E3F}" name="cena USD" dataDxfId="8">
      <calculatedColumnFormula>IF(OR($K6="",C$1=""),"",$K6/C$1)</calculatedColumnFormula>
    </tableColumn>
    <tableColumn id="10" xr3:uid="{EA8D2491-16EB-478C-A14D-ACA2B7F2BA4D}" name="cena UAH" dataDxfId="7">
      <calculatedColumnFormula>IF(OR($K6="",D$1=""),"",$K6/D$1)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0E42E07-436E-4766-8DA1-2B07D054FA8B}" name="Tabela4" displayName="Tabela4" ref="A4:F15" totalsRowShown="0" headerRowDxfId="0">
  <autoFilter ref="A4:F15" xr:uid="{60E42E07-436E-4766-8DA1-2B07D054FA8B}"/>
  <tableColumns count="6">
    <tableColumn id="1" xr3:uid="{A045EE88-75B3-457A-964A-253FF4596D02}" name="spółka"/>
    <tableColumn id="2" xr3:uid="{933E3F15-7F34-4A83-A6D2-8B96B74D3DB5}" name="18 list" dataDxfId="5"/>
    <tableColumn id="3" xr3:uid="{018E0AD4-B5A0-4580-BEF5-6E18742151A8}" name="22 list" dataDxfId="4"/>
    <tableColumn id="4" xr3:uid="{4BDE4A62-7D60-4676-BDF7-41CD827C7B22}" name="25 list" dataDxfId="3"/>
    <tableColumn id="5" xr3:uid="{AB1AC936-6939-49A2-8A85-B88BB040CDBB}" name="28 list" dataDxfId="2"/>
    <tableColumn id="6" xr3:uid="{1D5C7915-80AA-43E1-9260-6A48BFAD35B2}" name="30 list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84CCD-CF49-45A5-8921-C270AA7443FA}">
  <dimension ref="A1:B12"/>
  <sheetViews>
    <sheetView workbookViewId="0">
      <selection activeCell="G30" sqref="G30"/>
    </sheetView>
  </sheetViews>
  <sheetFormatPr defaultRowHeight="15" x14ac:dyDescent="0.25"/>
  <cols>
    <col min="1" max="1" width="38.140625" customWidth="1"/>
    <col min="2" max="2" width="66.7109375" customWidth="1"/>
  </cols>
  <sheetData>
    <row r="1" spans="1:2" ht="30" customHeight="1" x14ac:dyDescent="0.35">
      <c r="A1" s="43" t="s">
        <v>108</v>
      </c>
      <c r="B1" s="43"/>
    </row>
    <row r="2" spans="1:2" x14ac:dyDescent="0.25">
      <c r="A2" s="46" t="s">
        <v>109</v>
      </c>
      <c r="B2" s="46"/>
    </row>
    <row r="4" spans="1:2" x14ac:dyDescent="0.25">
      <c r="A4" s="35" t="s">
        <v>110</v>
      </c>
      <c r="B4" s="35" t="s">
        <v>111</v>
      </c>
    </row>
    <row r="5" spans="1:2" x14ac:dyDescent="0.25">
      <c r="A5" s="47" t="s">
        <v>112</v>
      </c>
      <c r="B5" s="48" t="s">
        <v>113</v>
      </c>
    </row>
    <row r="6" spans="1:2" x14ac:dyDescent="0.25">
      <c r="A6" s="47" t="s">
        <v>114</v>
      </c>
      <c r="B6" s="48" t="s">
        <v>115</v>
      </c>
    </row>
    <row r="7" spans="1:2" x14ac:dyDescent="0.25">
      <c r="A7" s="47" t="s">
        <v>116</v>
      </c>
      <c r="B7" s="48" t="s">
        <v>117</v>
      </c>
    </row>
    <row r="8" spans="1:2" x14ac:dyDescent="0.25">
      <c r="A8" s="47" t="s">
        <v>118</v>
      </c>
      <c r="B8" s="48" t="s">
        <v>119</v>
      </c>
    </row>
    <row r="9" spans="1:2" x14ac:dyDescent="0.25">
      <c r="A9" s="47" t="s">
        <v>120</v>
      </c>
      <c r="B9" s="48" t="s">
        <v>121</v>
      </c>
    </row>
    <row r="10" spans="1:2" x14ac:dyDescent="0.25">
      <c r="A10" s="47" t="s">
        <v>122</v>
      </c>
      <c r="B10" s="48" t="s">
        <v>123</v>
      </c>
    </row>
    <row r="11" spans="1:2" x14ac:dyDescent="0.25">
      <c r="A11" s="47" t="s">
        <v>124</v>
      </c>
      <c r="B11" s="48" t="s">
        <v>125</v>
      </c>
    </row>
    <row r="12" spans="1:2" x14ac:dyDescent="0.25">
      <c r="A12" s="47" t="s">
        <v>126</v>
      </c>
      <c r="B12" s="48" t="s">
        <v>127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4F3A9-4EEB-4ACB-99BB-382EEA8D6380}">
  <dimension ref="A1:I29"/>
  <sheetViews>
    <sheetView workbookViewId="0">
      <selection sqref="A1:F16"/>
    </sheetView>
  </sheetViews>
  <sheetFormatPr defaultRowHeight="15" x14ac:dyDescent="0.25"/>
  <cols>
    <col min="2" max="2" width="23.28515625" bestFit="1" customWidth="1"/>
    <col min="6" max="7" width="9.28515625" bestFit="1" customWidth="1"/>
    <col min="8" max="9" width="9.85546875" bestFit="1" customWidth="1"/>
  </cols>
  <sheetData>
    <row r="1" spans="1:9" ht="75" x14ac:dyDescent="0.25">
      <c r="A1" s="10" t="s">
        <v>0</v>
      </c>
      <c r="B1" s="10" t="s">
        <v>1</v>
      </c>
      <c r="C1" s="11" t="s">
        <v>2</v>
      </c>
      <c r="D1" s="11" t="s">
        <v>3</v>
      </c>
      <c r="E1" s="11" t="s">
        <v>6</v>
      </c>
      <c r="F1" s="11" t="s">
        <v>4</v>
      </c>
      <c r="G1" s="11" t="s">
        <v>5</v>
      </c>
      <c r="H1" s="12" t="s">
        <v>58</v>
      </c>
      <c r="I1" s="11" t="s">
        <v>57</v>
      </c>
    </row>
    <row r="2" spans="1:9" x14ac:dyDescent="0.25">
      <c r="A2" s="13" t="s">
        <v>7</v>
      </c>
      <c r="B2" s="13" t="s">
        <v>21</v>
      </c>
      <c r="C2" s="13">
        <v>500</v>
      </c>
      <c r="D2" s="13">
        <v>23</v>
      </c>
      <c r="E2" s="13">
        <f>C2-D2</f>
        <v>477</v>
      </c>
      <c r="F2" s="14">
        <v>2.2999999999999998</v>
      </c>
      <c r="G2" s="14">
        <f>(F2*$C$29)+F2</f>
        <v>3.2199999999999998</v>
      </c>
      <c r="H2" s="14">
        <f>E2*F2</f>
        <v>1097.0999999999999</v>
      </c>
      <c r="I2" s="14">
        <f>D2*G2</f>
        <v>74.059999999999988</v>
      </c>
    </row>
    <row r="3" spans="1:9" x14ac:dyDescent="0.25">
      <c r="A3" s="13" t="s">
        <v>7</v>
      </c>
      <c r="B3" s="13" t="s">
        <v>12</v>
      </c>
      <c r="C3" s="13">
        <v>200</v>
      </c>
      <c r="D3" s="13">
        <v>51</v>
      </c>
      <c r="E3" s="13">
        <f>C3-D3</f>
        <v>149</v>
      </c>
      <c r="F3" s="14">
        <v>4.5</v>
      </c>
      <c r="G3" s="14">
        <f>(F3*$C$29)+F3</f>
        <v>6.3</v>
      </c>
      <c r="H3" s="14">
        <f>E3*F3</f>
        <v>670.5</v>
      </c>
      <c r="I3" s="14">
        <f>D3*G3</f>
        <v>321.3</v>
      </c>
    </row>
    <row r="4" spans="1:9" x14ac:dyDescent="0.25">
      <c r="A4" s="13" t="s">
        <v>7</v>
      </c>
      <c r="B4" s="13" t="s">
        <v>13</v>
      </c>
      <c r="C4" s="13">
        <v>500</v>
      </c>
      <c r="D4" s="13">
        <v>128</v>
      </c>
      <c r="E4" s="13">
        <f>C4-D4</f>
        <v>372</v>
      </c>
      <c r="F4" s="14">
        <v>1.2</v>
      </c>
      <c r="G4" s="14">
        <f>(F4*$C$29)+F4</f>
        <v>1.68</v>
      </c>
      <c r="H4" s="14">
        <f>E4*F4</f>
        <v>446.4</v>
      </c>
      <c r="I4" s="14">
        <f>D4*G4</f>
        <v>215.04</v>
      </c>
    </row>
    <row r="5" spans="1:9" x14ac:dyDescent="0.25">
      <c r="A5" s="13" t="s">
        <v>7</v>
      </c>
      <c r="B5" s="13" t="s">
        <v>14</v>
      </c>
      <c r="C5" s="13">
        <v>700</v>
      </c>
      <c r="D5" s="13">
        <v>88</v>
      </c>
      <c r="E5" s="13">
        <f>C5-D5</f>
        <v>612</v>
      </c>
      <c r="F5" s="14">
        <v>1.2</v>
      </c>
      <c r="G5" s="14">
        <f>(F5*$C$29)+F5</f>
        <v>1.68</v>
      </c>
      <c r="H5" s="14">
        <f>E5*F5</f>
        <v>734.4</v>
      </c>
      <c r="I5" s="14">
        <f>D5*G5</f>
        <v>147.84</v>
      </c>
    </row>
    <row r="6" spans="1:9" x14ac:dyDescent="0.25">
      <c r="A6" s="13" t="s">
        <v>7</v>
      </c>
      <c r="B6" s="13" t="s">
        <v>15</v>
      </c>
      <c r="C6" s="13">
        <v>500</v>
      </c>
      <c r="D6" s="13">
        <v>45</v>
      </c>
      <c r="E6" s="13">
        <f>C6-D6</f>
        <v>455</v>
      </c>
      <c r="F6" s="14">
        <v>1.2</v>
      </c>
      <c r="G6" s="14">
        <f>(F6*$C$29)+F6</f>
        <v>1.68</v>
      </c>
      <c r="H6" s="14">
        <f>E6*F6</f>
        <v>546</v>
      </c>
      <c r="I6" s="14">
        <f>D6*G6</f>
        <v>75.599999999999994</v>
      </c>
    </row>
    <row r="7" spans="1:9" x14ac:dyDescent="0.25">
      <c r="A7" s="13" t="s">
        <v>7</v>
      </c>
      <c r="B7" s="13" t="s">
        <v>16</v>
      </c>
      <c r="C7" s="13">
        <v>500</v>
      </c>
      <c r="D7" s="13">
        <v>56</v>
      </c>
      <c r="E7" s="13">
        <f>C7-D7</f>
        <v>444</v>
      </c>
      <c r="F7" s="14">
        <v>1.2</v>
      </c>
      <c r="G7" s="14">
        <f>(F7*$C$29)+F7</f>
        <v>1.68</v>
      </c>
      <c r="H7" s="14">
        <f>E7*F7</f>
        <v>532.79999999999995</v>
      </c>
      <c r="I7" s="14">
        <f>D7*G7</f>
        <v>94.08</v>
      </c>
    </row>
    <row r="8" spans="1:9" x14ac:dyDescent="0.25">
      <c r="A8" s="13" t="s">
        <v>7</v>
      </c>
      <c r="B8" s="13" t="s">
        <v>22</v>
      </c>
      <c r="C8" s="13">
        <v>400</v>
      </c>
      <c r="D8" s="13">
        <v>96</v>
      </c>
      <c r="E8" s="13">
        <f>C8-D8</f>
        <v>304</v>
      </c>
      <c r="F8" s="14">
        <v>3.8</v>
      </c>
      <c r="G8" s="14">
        <f>(F8*$C$29)+F8</f>
        <v>5.32</v>
      </c>
      <c r="H8" s="14">
        <f>E8*F8</f>
        <v>1155.2</v>
      </c>
      <c r="I8" s="14">
        <f>D8*G8</f>
        <v>510.72</v>
      </c>
    </row>
    <row r="9" spans="1:9" x14ac:dyDescent="0.25">
      <c r="A9" s="13" t="s">
        <v>7</v>
      </c>
      <c r="B9" s="13" t="s">
        <v>23</v>
      </c>
      <c r="C9" s="13">
        <v>100</v>
      </c>
      <c r="D9" s="13">
        <v>20</v>
      </c>
      <c r="E9" s="13">
        <f>C9-D9</f>
        <v>80</v>
      </c>
      <c r="F9" s="14">
        <v>5.6</v>
      </c>
      <c r="G9" s="14">
        <f>(F9*$C$29)+F9</f>
        <v>7.84</v>
      </c>
      <c r="H9" s="14">
        <f>E9*F9</f>
        <v>448</v>
      </c>
      <c r="I9" s="14">
        <f>D9*G9</f>
        <v>156.80000000000001</v>
      </c>
    </row>
    <row r="10" spans="1:9" x14ac:dyDescent="0.25">
      <c r="A10" s="13" t="s">
        <v>7</v>
      </c>
      <c r="B10" s="13" t="s">
        <v>24</v>
      </c>
      <c r="C10" s="13">
        <v>200</v>
      </c>
      <c r="D10" s="13">
        <v>46</v>
      </c>
      <c r="E10" s="13">
        <f>C10-D10</f>
        <v>154</v>
      </c>
      <c r="F10" s="14">
        <v>7.9</v>
      </c>
      <c r="G10" s="14">
        <f>(F10*$C$29)+F10</f>
        <v>11.06</v>
      </c>
      <c r="H10" s="14">
        <f>E10*F10</f>
        <v>1216.6000000000001</v>
      </c>
      <c r="I10" s="14">
        <f>D10*G10</f>
        <v>508.76000000000005</v>
      </c>
    </row>
    <row r="11" spans="1:9" x14ac:dyDescent="0.25">
      <c r="A11" s="13" t="s">
        <v>7</v>
      </c>
      <c r="B11" s="13" t="s">
        <v>25</v>
      </c>
      <c r="C11" s="13">
        <v>800</v>
      </c>
      <c r="D11" s="13">
        <v>142</v>
      </c>
      <c r="E11" s="13">
        <f>C11-D11</f>
        <v>658</v>
      </c>
      <c r="F11" s="14">
        <v>1.3</v>
      </c>
      <c r="G11" s="14">
        <f>(F11*$C$29)+F11</f>
        <v>1.82</v>
      </c>
      <c r="H11" s="14">
        <f>E11*F11</f>
        <v>855.4</v>
      </c>
      <c r="I11" s="14">
        <f>D11*G11</f>
        <v>258.44</v>
      </c>
    </row>
    <row r="12" spans="1:9" x14ac:dyDescent="0.25">
      <c r="A12" s="13" t="s">
        <v>7</v>
      </c>
      <c r="B12" s="13" t="s">
        <v>26</v>
      </c>
      <c r="C12" s="13">
        <v>800</v>
      </c>
      <c r="D12" s="13">
        <v>102</v>
      </c>
      <c r="E12" s="13">
        <f>C12-D12</f>
        <v>698</v>
      </c>
      <c r="F12" s="14">
        <v>1.3</v>
      </c>
      <c r="G12" s="14">
        <f>(F12*$C$29)+F12</f>
        <v>1.82</v>
      </c>
      <c r="H12" s="14">
        <f>E12*F12</f>
        <v>907.4</v>
      </c>
      <c r="I12" s="14">
        <f>D12*G12</f>
        <v>185.64000000000001</v>
      </c>
    </row>
    <row r="13" spans="1:9" x14ac:dyDescent="0.25">
      <c r="A13" s="13" t="s">
        <v>7</v>
      </c>
      <c r="B13" s="13" t="s">
        <v>31</v>
      </c>
      <c r="C13" s="13">
        <v>200</v>
      </c>
      <c r="D13" s="13">
        <v>56</v>
      </c>
      <c r="E13" s="13">
        <f>C13-D13</f>
        <v>144</v>
      </c>
      <c r="F13" s="14">
        <v>2.9</v>
      </c>
      <c r="G13" s="14">
        <f>(F13*$C$29)+F13</f>
        <v>4.0599999999999996</v>
      </c>
      <c r="H13" s="14">
        <f>E13*F13</f>
        <v>417.59999999999997</v>
      </c>
      <c r="I13" s="14">
        <f>D13*G13</f>
        <v>227.35999999999999</v>
      </c>
    </row>
    <row r="14" spans="1:9" x14ac:dyDescent="0.25">
      <c r="A14" s="13" t="s">
        <v>7</v>
      </c>
      <c r="B14" s="13" t="s">
        <v>33</v>
      </c>
      <c r="C14" s="13">
        <v>120</v>
      </c>
      <c r="D14" s="13">
        <v>20</v>
      </c>
      <c r="E14" s="13">
        <f>C14-D14</f>
        <v>100</v>
      </c>
      <c r="F14" s="14">
        <v>2.1</v>
      </c>
      <c r="G14" s="14">
        <f>(F14*$C$29)+F14</f>
        <v>2.9400000000000004</v>
      </c>
      <c r="H14" s="14">
        <f>E14*F14</f>
        <v>210</v>
      </c>
      <c r="I14" s="14">
        <f>D14*G14</f>
        <v>58.800000000000011</v>
      </c>
    </row>
    <row r="15" spans="1:9" x14ac:dyDescent="0.25">
      <c r="A15" s="13" t="s">
        <v>7</v>
      </c>
      <c r="B15" s="13" t="s">
        <v>34</v>
      </c>
      <c r="C15" s="13">
        <v>120</v>
      </c>
      <c r="D15" s="13">
        <v>12</v>
      </c>
      <c r="E15" s="13">
        <f>C15-D15</f>
        <v>108</v>
      </c>
      <c r="F15" s="14">
        <v>3.7</v>
      </c>
      <c r="G15" s="14">
        <f>(F15*$C$29)+F15</f>
        <v>5.1800000000000006</v>
      </c>
      <c r="H15" s="14">
        <f>E15*F15</f>
        <v>399.6</v>
      </c>
      <c r="I15" s="14">
        <f>D15*G15</f>
        <v>62.160000000000011</v>
      </c>
    </row>
    <row r="16" spans="1:9" x14ac:dyDescent="0.25">
      <c r="A16" s="13" t="s">
        <v>8</v>
      </c>
      <c r="B16" s="13" t="s">
        <v>10</v>
      </c>
      <c r="C16" s="13">
        <v>500</v>
      </c>
      <c r="D16" s="13">
        <v>56</v>
      </c>
      <c r="E16" s="13">
        <f>C16-D16</f>
        <v>444</v>
      </c>
      <c r="F16" s="14">
        <v>0.8</v>
      </c>
      <c r="G16" s="14">
        <f>(F16*$C$29)+F16</f>
        <v>1.1200000000000001</v>
      </c>
      <c r="H16" s="14">
        <f>E16*F16</f>
        <v>355.20000000000005</v>
      </c>
      <c r="I16" s="14">
        <f>D16*G16</f>
        <v>62.720000000000006</v>
      </c>
    </row>
    <row r="17" spans="1:9" x14ac:dyDescent="0.25">
      <c r="A17" s="13" t="s">
        <v>8</v>
      </c>
      <c r="B17" s="13" t="s">
        <v>11</v>
      </c>
      <c r="C17" s="13">
        <v>150</v>
      </c>
      <c r="D17" s="13">
        <v>89</v>
      </c>
      <c r="E17" s="13">
        <f>C17-D17</f>
        <v>61</v>
      </c>
      <c r="F17" s="14">
        <v>0.9</v>
      </c>
      <c r="G17" s="14">
        <f>(F17*$C$29)+F17</f>
        <v>1.26</v>
      </c>
      <c r="H17" s="14">
        <f>E17*F17</f>
        <v>54.9</v>
      </c>
      <c r="I17" s="14">
        <f>D17*G17</f>
        <v>112.14</v>
      </c>
    </row>
    <row r="18" spans="1:9" x14ac:dyDescent="0.25">
      <c r="A18" s="13" t="s">
        <v>8</v>
      </c>
      <c r="B18" s="13" t="s">
        <v>29</v>
      </c>
      <c r="C18" s="13">
        <v>1000</v>
      </c>
      <c r="D18" s="13">
        <v>220</v>
      </c>
      <c r="E18" s="13">
        <f>C18-D18</f>
        <v>780</v>
      </c>
      <c r="F18" s="14">
        <v>1.9</v>
      </c>
      <c r="G18" s="14">
        <f>(F18*$C$29)+F18</f>
        <v>2.66</v>
      </c>
      <c r="H18" s="14">
        <f>E18*F18</f>
        <v>1482</v>
      </c>
      <c r="I18" s="14">
        <f>D18*G18</f>
        <v>585.20000000000005</v>
      </c>
    </row>
    <row r="19" spans="1:9" x14ac:dyDescent="0.25">
      <c r="A19" s="13" t="s">
        <v>8</v>
      </c>
      <c r="B19" s="13" t="s">
        <v>30</v>
      </c>
      <c r="C19" s="13">
        <v>1000</v>
      </c>
      <c r="D19" s="13">
        <v>340</v>
      </c>
      <c r="E19" s="13">
        <f>C19-D19</f>
        <v>660</v>
      </c>
      <c r="F19" s="14">
        <v>1.9</v>
      </c>
      <c r="G19" s="14">
        <f>(F19*$C$29)+F19</f>
        <v>2.66</v>
      </c>
      <c r="H19" s="14">
        <f>E19*F19</f>
        <v>1254</v>
      </c>
      <c r="I19" s="14">
        <f>D19*G19</f>
        <v>904.40000000000009</v>
      </c>
    </row>
    <row r="20" spans="1:9" x14ac:dyDescent="0.25">
      <c r="A20" s="13" t="s">
        <v>8</v>
      </c>
      <c r="B20" s="13" t="s">
        <v>32</v>
      </c>
      <c r="C20" s="13">
        <v>500</v>
      </c>
      <c r="D20" s="13">
        <v>48</v>
      </c>
      <c r="E20" s="13">
        <f>C20-D20</f>
        <v>452</v>
      </c>
      <c r="F20" s="14">
        <v>3.1</v>
      </c>
      <c r="G20" s="14">
        <f>(F20*$C$29)+F20</f>
        <v>4.34</v>
      </c>
      <c r="H20" s="14">
        <f>E20*F20</f>
        <v>1401.2</v>
      </c>
      <c r="I20" s="14">
        <f>D20*G20</f>
        <v>208.32</v>
      </c>
    </row>
    <row r="21" spans="1:9" x14ac:dyDescent="0.25">
      <c r="A21" s="13" t="s">
        <v>9</v>
      </c>
      <c r="B21" s="13" t="s">
        <v>17</v>
      </c>
      <c r="C21" s="13">
        <v>1200</v>
      </c>
      <c r="D21" s="13">
        <v>720</v>
      </c>
      <c r="E21" s="13">
        <f>C21-D21</f>
        <v>480</v>
      </c>
      <c r="F21" s="14">
        <v>1.1000000000000001</v>
      </c>
      <c r="G21" s="14">
        <f>(F21*$C$29)+F21</f>
        <v>1.54</v>
      </c>
      <c r="H21" s="14">
        <f>E21*F21</f>
        <v>528</v>
      </c>
      <c r="I21" s="14">
        <f>D21*G21</f>
        <v>1108.8</v>
      </c>
    </row>
    <row r="22" spans="1:9" x14ac:dyDescent="0.25">
      <c r="A22" s="13" t="s">
        <v>9</v>
      </c>
      <c r="B22" s="13" t="s">
        <v>18</v>
      </c>
      <c r="C22" s="13">
        <v>1000</v>
      </c>
      <c r="D22" s="13">
        <v>560</v>
      </c>
      <c r="E22" s="13">
        <f>C22-D22</f>
        <v>440</v>
      </c>
      <c r="F22" s="14">
        <v>1.3</v>
      </c>
      <c r="G22" s="14">
        <f>(F22*$C$29)+F22</f>
        <v>1.82</v>
      </c>
      <c r="H22" s="14">
        <f>E22*F22</f>
        <v>572</v>
      </c>
      <c r="I22" s="14">
        <f>D22*G22</f>
        <v>1019.2</v>
      </c>
    </row>
    <row r="23" spans="1:9" x14ac:dyDescent="0.25">
      <c r="A23" s="13" t="s">
        <v>9</v>
      </c>
      <c r="B23" s="13" t="s">
        <v>19</v>
      </c>
      <c r="C23" s="13">
        <v>1000</v>
      </c>
      <c r="D23" s="13">
        <v>450</v>
      </c>
      <c r="E23" s="13">
        <f>C23-D23</f>
        <v>550</v>
      </c>
      <c r="F23" s="14">
        <v>1.3</v>
      </c>
      <c r="G23" s="14">
        <f>(F23*$C$29)+F23</f>
        <v>1.82</v>
      </c>
      <c r="H23" s="14">
        <f>E23*F23</f>
        <v>715</v>
      </c>
      <c r="I23" s="14">
        <f>D23*G23</f>
        <v>819</v>
      </c>
    </row>
    <row r="24" spans="1:9" x14ac:dyDescent="0.25">
      <c r="A24" s="13" t="s">
        <v>9</v>
      </c>
      <c r="B24" s="13" t="s">
        <v>20</v>
      </c>
      <c r="C24" s="13">
        <v>1500</v>
      </c>
      <c r="D24" s="13">
        <v>890</v>
      </c>
      <c r="E24" s="13">
        <f>C24-D24</f>
        <v>610</v>
      </c>
      <c r="F24" s="14">
        <v>1.2</v>
      </c>
      <c r="G24" s="14">
        <f>(F24*$C$29)+F24</f>
        <v>1.68</v>
      </c>
      <c r="H24" s="14">
        <f>E24*F24</f>
        <v>732</v>
      </c>
      <c r="I24" s="14">
        <f>D24*G24</f>
        <v>1495.2</v>
      </c>
    </row>
    <row r="25" spans="1:9" x14ac:dyDescent="0.25">
      <c r="A25" s="13" t="s">
        <v>9</v>
      </c>
      <c r="B25" s="13" t="s">
        <v>27</v>
      </c>
      <c r="C25" s="13">
        <v>600</v>
      </c>
      <c r="D25" s="13">
        <v>98</v>
      </c>
      <c r="E25" s="13">
        <f>C25-D25</f>
        <v>502</v>
      </c>
      <c r="F25" s="14">
        <v>2.6</v>
      </c>
      <c r="G25" s="14">
        <f>(F25*$C$29)+F25</f>
        <v>3.64</v>
      </c>
      <c r="H25" s="14">
        <f>E25*F25</f>
        <v>1305.2</v>
      </c>
      <c r="I25" s="14">
        <f>D25*G25</f>
        <v>356.72</v>
      </c>
    </row>
    <row r="26" spans="1:9" x14ac:dyDescent="0.25">
      <c r="A26" s="13" t="s">
        <v>9</v>
      </c>
      <c r="B26" s="13" t="s">
        <v>28</v>
      </c>
      <c r="C26" s="13">
        <v>600</v>
      </c>
      <c r="D26" s="13">
        <v>120</v>
      </c>
      <c r="E26" s="13">
        <f>C26-D26</f>
        <v>480</v>
      </c>
      <c r="F26" s="14">
        <v>2.6</v>
      </c>
      <c r="G26" s="14">
        <f>(F26*$C$29)+F26</f>
        <v>3.64</v>
      </c>
      <c r="H26" s="14">
        <f>E26*F26</f>
        <v>1248</v>
      </c>
      <c r="I26" s="14">
        <f>D26*G26</f>
        <v>436.8</v>
      </c>
    </row>
    <row r="28" spans="1:9" ht="15.75" thickBot="1" x14ac:dyDescent="0.3"/>
    <row r="29" spans="1:9" ht="15.75" thickBot="1" x14ac:dyDescent="0.3">
      <c r="B29" s="1" t="s">
        <v>35</v>
      </c>
      <c r="C29" s="2">
        <v>0.4</v>
      </c>
    </row>
  </sheetData>
  <sortState xmlns:xlrd2="http://schemas.microsoft.com/office/spreadsheetml/2017/richdata2" ref="A2:I26">
    <sortCondition ref="A2:A26"/>
  </sortState>
  <phoneticPr fontId="2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F9667-DE24-4849-BADE-99A0590B2C32}">
  <dimension ref="A1:N31"/>
  <sheetViews>
    <sheetView zoomScale="85" zoomScaleNormal="85" workbookViewId="0">
      <selection activeCell="J42" sqref="J42"/>
    </sheetView>
  </sheetViews>
  <sheetFormatPr defaultRowHeight="15" x14ac:dyDescent="0.25"/>
  <cols>
    <col min="1" max="1" width="4.7109375" bestFit="1" customWidth="1"/>
    <col min="2" max="4" width="10.7109375" customWidth="1"/>
    <col min="5" max="5" width="8" customWidth="1"/>
    <col min="6" max="6" width="11.42578125" customWidth="1"/>
    <col min="7" max="7" width="28.5703125" customWidth="1"/>
    <col min="8" max="10" width="20" customWidth="1"/>
    <col min="11" max="14" width="16.7109375" customWidth="1"/>
  </cols>
  <sheetData>
    <row r="1" spans="1:14" x14ac:dyDescent="0.25">
      <c r="A1" s="3" t="s">
        <v>36</v>
      </c>
      <c r="B1" s="7">
        <v>4.58</v>
      </c>
      <c r="C1" s="7">
        <v>3.96</v>
      </c>
      <c r="D1" s="8">
        <v>0.15</v>
      </c>
    </row>
    <row r="2" spans="1:14" ht="15.75" thickBot="1" x14ac:dyDescent="0.3">
      <c r="A2" s="4"/>
      <c r="B2" s="5" t="s">
        <v>37</v>
      </c>
      <c r="C2" s="5" t="s">
        <v>38</v>
      </c>
      <c r="D2" s="6" t="s">
        <v>56</v>
      </c>
    </row>
    <row r="5" spans="1:14" ht="30" x14ac:dyDescent="0.25">
      <c r="E5" s="18" t="s">
        <v>59</v>
      </c>
      <c r="F5" s="19" t="s">
        <v>0</v>
      </c>
      <c r="G5" s="19" t="s">
        <v>1</v>
      </c>
      <c r="H5" s="19" t="s">
        <v>2</v>
      </c>
      <c r="I5" s="19" t="s">
        <v>3</v>
      </c>
      <c r="J5" s="19" t="s">
        <v>6</v>
      </c>
      <c r="K5" s="19" t="s">
        <v>4</v>
      </c>
      <c r="L5" s="20" t="s">
        <v>60</v>
      </c>
      <c r="M5" s="20" t="s">
        <v>61</v>
      </c>
      <c r="N5" s="20" t="s">
        <v>62</v>
      </c>
    </row>
    <row r="6" spans="1:14" x14ac:dyDescent="0.25">
      <c r="E6" s="16">
        <v>1</v>
      </c>
      <c r="F6" s="15" t="s">
        <v>7</v>
      </c>
      <c r="G6" s="15" t="s">
        <v>21</v>
      </c>
      <c r="H6" s="15">
        <v>500</v>
      </c>
      <c r="I6" s="15">
        <v>23</v>
      </c>
      <c r="J6" s="15">
        <v>477</v>
      </c>
      <c r="K6" s="17">
        <v>2.2999999999999998</v>
      </c>
      <c r="L6" s="21">
        <f>IF(OR($K6="",B$1=""),"",$K6/B$1)</f>
        <v>0.50218340611353707</v>
      </c>
      <c r="M6" s="22">
        <f>IF(OR($K6="",C$1=""),"",$K6/C$1)</f>
        <v>0.58080808080808077</v>
      </c>
      <c r="N6" s="23">
        <f>IF(OR($K6="",D$1=""),"",$K6/D$1)</f>
        <v>15.333333333333332</v>
      </c>
    </row>
    <row r="7" spans="1:14" x14ac:dyDescent="0.25">
      <c r="E7" s="16">
        <v>2</v>
      </c>
      <c r="F7" s="15" t="s">
        <v>7</v>
      </c>
      <c r="G7" s="15" t="s">
        <v>12</v>
      </c>
      <c r="H7" s="15">
        <v>200</v>
      </c>
      <c r="I7" s="15">
        <v>51</v>
      </c>
      <c r="J7" s="15">
        <v>149</v>
      </c>
      <c r="K7" s="17">
        <v>4.5</v>
      </c>
      <c r="L7" s="21">
        <f>IF(OR($K7="",B$1=""),"",$K7/B$1)</f>
        <v>0.98253275109170302</v>
      </c>
      <c r="M7" s="22">
        <f>IF(OR($K7="",C$1=""),"",$K7/C$1)</f>
        <v>1.1363636363636365</v>
      </c>
      <c r="N7" s="23">
        <f>IF(OR($K7="",D$1=""),"",$K7/D$1)</f>
        <v>30</v>
      </c>
    </row>
    <row r="8" spans="1:14" x14ac:dyDescent="0.25">
      <c r="E8" s="16">
        <v>3</v>
      </c>
      <c r="F8" s="15" t="s">
        <v>7</v>
      </c>
      <c r="G8" s="15" t="s">
        <v>13</v>
      </c>
      <c r="H8" s="15">
        <v>500</v>
      </c>
      <c r="I8" s="15">
        <v>128</v>
      </c>
      <c r="J8" s="15">
        <v>372</v>
      </c>
      <c r="K8" s="17">
        <v>1.2</v>
      </c>
      <c r="L8" s="21">
        <f>IF(OR($K8="",B$1=""),"",$K8/B$1)</f>
        <v>0.26200873362445415</v>
      </c>
      <c r="M8" s="22">
        <f>IF(OR($K8="",C$1=""),"",$K8/C$1)</f>
        <v>0.30303030303030304</v>
      </c>
      <c r="N8" s="23">
        <f>IF(OR($K8="",D$1=""),"",$K8/D$1)</f>
        <v>8</v>
      </c>
    </row>
    <row r="9" spans="1:14" x14ac:dyDescent="0.25">
      <c r="E9" s="16">
        <v>4</v>
      </c>
      <c r="F9" s="15" t="s">
        <v>7</v>
      </c>
      <c r="G9" s="15" t="s">
        <v>14</v>
      </c>
      <c r="H9" s="15">
        <v>700</v>
      </c>
      <c r="I9" s="15">
        <v>88</v>
      </c>
      <c r="J9" s="15">
        <v>612</v>
      </c>
      <c r="K9" s="17">
        <v>1.2</v>
      </c>
      <c r="L9" s="21">
        <f>IF(OR($K9="",B$1=""),"",$K9/B$1)</f>
        <v>0.26200873362445415</v>
      </c>
      <c r="M9" s="22">
        <f>IF(OR($K9="",C$1=""),"",$K9/C$1)</f>
        <v>0.30303030303030304</v>
      </c>
      <c r="N9" s="23">
        <f>IF(OR($K9="",D$1=""),"",$K9/D$1)</f>
        <v>8</v>
      </c>
    </row>
    <row r="10" spans="1:14" x14ac:dyDescent="0.25">
      <c r="E10" s="16">
        <v>5</v>
      </c>
      <c r="F10" s="15" t="s">
        <v>7</v>
      </c>
      <c r="G10" s="15" t="s">
        <v>15</v>
      </c>
      <c r="H10" s="15">
        <v>500</v>
      </c>
      <c r="I10" s="15">
        <v>45</v>
      </c>
      <c r="J10" s="15">
        <v>455</v>
      </c>
      <c r="K10" s="17">
        <v>1.2</v>
      </c>
      <c r="L10" s="21">
        <f>IF(OR($K10="",B$1=""),"",$K10/B$1)</f>
        <v>0.26200873362445415</v>
      </c>
      <c r="M10" s="22">
        <f>IF(OR($K10="",C$1=""),"",$K10/C$1)</f>
        <v>0.30303030303030304</v>
      </c>
      <c r="N10" s="23">
        <f>IF(OR($K10="",D$1=""),"",$K10/D$1)</f>
        <v>8</v>
      </c>
    </row>
    <row r="11" spans="1:14" x14ac:dyDescent="0.25">
      <c r="E11" s="16">
        <v>6</v>
      </c>
      <c r="F11" s="15" t="s">
        <v>7</v>
      </c>
      <c r="G11" s="15" t="s">
        <v>16</v>
      </c>
      <c r="H11" s="15">
        <v>500</v>
      </c>
      <c r="I11" s="15">
        <v>56</v>
      </c>
      <c r="J11" s="15">
        <v>444</v>
      </c>
      <c r="K11" s="17">
        <v>1.2</v>
      </c>
      <c r="L11" s="21">
        <f>IF(OR($K11="",B$1=""),"",$K11/B$1)</f>
        <v>0.26200873362445415</v>
      </c>
      <c r="M11" s="22">
        <f>IF(OR($K11="",C$1=""),"",$K11/C$1)</f>
        <v>0.30303030303030304</v>
      </c>
      <c r="N11" s="23">
        <f>IF(OR($K11="",D$1=""),"",$K11/D$1)</f>
        <v>8</v>
      </c>
    </row>
    <row r="12" spans="1:14" x14ac:dyDescent="0.25">
      <c r="E12" s="16">
        <v>7</v>
      </c>
      <c r="F12" s="15" t="s">
        <v>7</v>
      </c>
      <c r="G12" s="15" t="s">
        <v>22</v>
      </c>
      <c r="H12" s="15">
        <v>400</v>
      </c>
      <c r="I12" s="15">
        <v>96</v>
      </c>
      <c r="J12" s="15">
        <v>304</v>
      </c>
      <c r="K12" s="17">
        <v>3.8</v>
      </c>
      <c r="L12" s="21">
        <f>IF(OR($K12="",B$1=""),"",$K12/B$1)</f>
        <v>0.82969432314410474</v>
      </c>
      <c r="M12" s="22">
        <f>IF(OR($K12="",C$1=""),"",$K12/C$1)</f>
        <v>0.95959595959595956</v>
      </c>
      <c r="N12" s="23">
        <f>IF(OR($K12="",D$1=""),"",$K12/D$1)</f>
        <v>25.333333333333332</v>
      </c>
    </row>
    <row r="13" spans="1:14" x14ac:dyDescent="0.25">
      <c r="E13" s="16">
        <v>8</v>
      </c>
      <c r="F13" s="15" t="s">
        <v>7</v>
      </c>
      <c r="G13" s="15" t="s">
        <v>23</v>
      </c>
      <c r="H13" s="15">
        <v>100</v>
      </c>
      <c r="I13" s="15">
        <v>20</v>
      </c>
      <c r="J13" s="15">
        <v>80</v>
      </c>
      <c r="K13" s="17">
        <v>5.6</v>
      </c>
      <c r="L13" s="21">
        <f>IF(OR($K13="",B$1=""),"",$K13/B$1)</f>
        <v>1.222707423580786</v>
      </c>
      <c r="M13" s="22">
        <f>IF(OR($K13="",C$1=""),"",$K13/C$1)</f>
        <v>1.4141414141414141</v>
      </c>
      <c r="N13" s="23">
        <f>IF(OR($K13="",D$1=""),"",$K13/D$1)</f>
        <v>37.333333333333336</v>
      </c>
    </row>
    <row r="14" spans="1:14" x14ac:dyDescent="0.25">
      <c r="E14" s="16">
        <v>9</v>
      </c>
      <c r="F14" s="15" t="s">
        <v>7</v>
      </c>
      <c r="G14" s="15" t="s">
        <v>24</v>
      </c>
      <c r="H14" s="15">
        <v>200</v>
      </c>
      <c r="I14" s="15">
        <v>46</v>
      </c>
      <c r="J14" s="15">
        <v>154</v>
      </c>
      <c r="K14" s="17">
        <v>7.9</v>
      </c>
      <c r="L14" s="21">
        <f>IF(OR($K14="",B$1=""),"",$K14/B$1)</f>
        <v>1.7248908296943233</v>
      </c>
      <c r="M14" s="22">
        <f>IF(OR($K14="",C$1=""),"",$K14/C$1)</f>
        <v>1.994949494949495</v>
      </c>
      <c r="N14" s="23">
        <f>IF(OR($K14="",D$1=""),"",$K14/D$1)</f>
        <v>52.666666666666671</v>
      </c>
    </row>
    <row r="15" spans="1:14" x14ac:dyDescent="0.25">
      <c r="E15" s="16">
        <v>10</v>
      </c>
      <c r="F15" s="15" t="s">
        <v>7</v>
      </c>
      <c r="G15" s="15" t="s">
        <v>25</v>
      </c>
      <c r="H15" s="15">
        <v>800</v>
      </c>
      <c r="I15" s="15">
        <v>142</v>
      </c>
      <c r="J15" s="15">
        <v>658</v>
      </c>
      <c r="K15" s="17">
        <v>1.3</v>
      </c>
      <c r="L15" s="21">
        <f>IF(OR($K15="",B$1=""),"",$K15/B$1)</f>
        <v>0.28384279475982532</v>
      </c>
      <c r="M15" s="22">
        <f>IF(OR($K15="",C$1=""),"",$K15/C$1)</f>
        <v>0.32828282828282829</v>
      </c>
      <c r="N15" s="23">
        <f>IF(OR($K15="",D$1=""),"",$K15/D$1)</f>
        <v>8.6666666666666679</v>
      </c>
    </row>
    <row r="16" spans="1:14" x14ac:dyDescent="0.25">
      <c r="E16" s="16">
        <v>11</v>
      </c>
      <c r="F16" s="15" t="s">
        <v>7</v>
      </c>
      <c r="G16" s="15" t="s">
        <v>26</v>
      </c>
      <c r="H16" s="15">
        <v>800</v>
      </c>
      <c r="I16" s="15">
        <v>102</v>
      </c>
      <c r="J16" s="15">
        <v>698</v>
      </c>
      <c r="K16" s="17">
        <v>1.3</v>
      </c>
      <c r="L16" s="21">
        <f>IF(OR($K16="",B$1=""),"",$K16/B$1)</f>
        <v>0.28384279475982532</v>
      </c>
      <c r="M16" s="22">
        <f>IF(OR($K16="",C$1=""),"",$K16/C$1)</f>
        <v>0.32828282828282829</v>
      </c>
      <c r="N16" s="23">
        <f>IF(OR($K16="",D$1=""),"",$K16/D$1)</f>
        <v>8.6666666666666679</v>
      </c>
    </row>
    <row r="17" spans="5:14" x14ac:dyDescent="0.25">
      <c r="E17" s="16">
        <v>12</v>
      </c>
      <c r="F17" s="15" t="s">
        <v>7</v>
      </c>
      <c r="G17" s="15" t="s">
        <v>31</v>
      </c>
      <c r="H17" s="15">
        <v>200</v>
      </c>
      <c r="I17" s="15">
        <v>56</v>
      </c>
      <c r="J17" s="15">
        <v>144</v>
      </c>
      <c r="K17" s="17">
        <v>2.9</v>
      </c>
      <c r="L17" s="21">
        <f>IF(OR($K17="",B$1=""),"",$K17/B$1)</f>
        <v>0.63318777292576411</v>
      </c>
      <c r="M17" s="22">
        <f>IF(OR($K17="",C$1=""),"",$K17/C$1)</f>
        <v>0.73232323232323226</v>
      </c>
      <c r="N17" s="23">
        <f>IF(OR($K17="",D$1=""),"",$K17/D$1)</f>
        <v>19.333333333333332</v>
      </c>
    </row>
    <row r="18" spans="5:14" x14ac:dyDescent="0.25">
      <c r="E18" s="16">
        <v>13</v>
      </c>
      <c r="F18" s="15" t="s">
        <v>7</v>
      </c>
      <c r="G18" s="15" t="s">
        <v>33</v>
      </c>
      <c r="H18" s="15">
        <v>120</v>
      </c>
      <c r="I18" s="15">
        <v>20</v>
      </c>
      <c r="J18" s="15">
        <v>100</v>
      </c>
      <c r="K18" s="17">
        <v>2.1</v>
      </c>
      <c r="L18" s="21">
        <f>IF(OR($K18="",B$1=""),"",$K18/B$1)</f>
        <v>0.45851528384279477</v>
      </c>
      <c r="M18" s="22">
        <f>IF(OR($K18="",C$1=""),"",$K18/C$1)</f>
        <v>0.53030303030303028</v>
      </c>
      <c r="N18" s="23">
        <f>IF(OR($K18="",D$1=""),"",$K18/D$1)</f>
        <v>14.000000000000002</v>
      </c>
    </row>
    <row r="19" spans="5:14" x14ac:dyDescent="0.25">
      <c r="E19" s="16">
        <v>14</v>
      </c>
      <c r="F19" s="15" t="s">
        <v>7</v>
      </c>
      <c r="G19" s="15" t="s">
        <v>34</v>
      </c>
      <c r="H19" s="15">
        <v>120</v>
      </c>
      <c r="I19" s="15">
        <v>12</v>
      </c>
      <c r="J19" s="15">
        <v>108</v>
      </c>
      <c r="K19" s="17">
        <v>3.7</v>
      </c>
      <c r="L19" s="21">
        <f>IF(OR($K19="",B$1=""),"",$K19/B$1)</f>
        <v>0.80786026200873362</v>
      </c>
      <c r="M19" s="22">
        <f>IF(OR($K19="",C$1=""),"",$K19/C$1)</f>
        <v>0.93434343434343436</v>
      </c>
      <c r="N19" s="23">
        <f>IF(OR($K19="",D$1=""),"",$K19/D$1)</f>
        <v>24.666666666666668</v>
      </c>
    </row>
    <row r="20" spans="5:14" x14ac:dyDescent="0.25">
      <c r="E20" s="16">
        <v>15</v>
      </c>
      <c r="F20" s="15" t="s">
        <v>8</v>
      </c>
      <c r="G20" s="15" t="s">
        <v>10</v>
      </c>
      <c r="H20" s="15">
        <v>500</v>
      </c>
      <c r="I20" s="15">
        <v>56</v>
      </c>
      <c r="J20" s="15">
        <v>444</v>
      </c>
      <c r="K20" s="17">
        <v>0.8</v>
      </c>
      <c r="L20" s="21">
        <f>IF(OR($K20="",B$1=""),"",$K20/B$1)</f>
        <v>0.17467248908296945</v>
      </c>
      <c r="M20" s="22">
        <f>IF(OR($K20="",C$1=""),"",$K20/C$1)</f>
        <v>0.20202020202020204</v>
      </c>
      <c r="N20" s="23">
        <f>IF(OR($K20="",D$1=""),"",$K20/D$1)</f>
        <v>5.3333333333333339</v>
      </c>
    </row>
    <row r="21" spans="5:14" x14ac:dyDescent="0.25">
      <c r="E21" s="16">
        <v>16</v>
      </c>
      <c r="F21" s="15" t="s">
        <v>8</v>
      </c>
      <c r="G21" s="15" t="s">
        <v>11</v>
      </c>
      <c r="H21" s="15">
        <v>150</v>
      </c>
      <c r="I21" s="15">
        <v>89</v>
      </c>
      <c r="J21" s="15">
        <v>61</v>
      </c>
      <c r="K21" s="17">
        <v>0.9</v>
      </c>
      <c r="L21" s="21">
        <f>IF(OR($K21="",B$1=""),"",$K21/B$1)</f>
        <v>0.19650655021834063</v>
      </c>
      <c r="M21" s="22">
        <f>IF(OR($K21="",C$1=""),"",$K21/C$1)</f>
        <v>0.22727272727272729</v>
      </c>
      <c r="N21" s="23">
        <f>IF(OR($K21="",D$1=""),"",$K21/D$1)</f>
        <v>6</v>
      </c>
    </row>
    <row r="22" spans="5:14" x14ac:dyDescent="0.25">
      <c r="E22" s="16">
        <v>17</v>
      </c>
      <c r="F22" s="15" t="s">
        <v>8</v>
      </c>
      <c r="G22" s="15" t="s">
        <v>29</v>
      </c>
      <c r="H22" s="15">
        <v>1000</v>
      </c>
      <c r="I22" s="15">
        <v>220</v>
      </c>
      <c r="J22" s="15">
        <v>780</v>
      </c>
      <c r="K22" s="17">
        <v>1.9</v>
      </c>
      <c r="L22" s="21">
        <f>IF(OR($K22="",B$1=""),"",$K22/B$1)</f>
        <v>0.41484716157205237</v>
      </c>
      <c r="M22" s="22">
        <f>IF(OR($K22="",C$1=""),"",$K22/C$1)</f>
        <v>0.47979797979797978</v>
      </c>
      <c r="N22" s="23">
        <f>IF(OR($K22="",D$1=""),"",$K22/D$1)</f>
        <v>12.666666666666666</v>
      </c>
    </row>
    <row r="23" spans="5:14" x14ac:dyDescent="0.25">
      <c r="E23" s="16">
        <v>18</v>
      </c>
      <c r="F23" s="15" t="s">
        <v>8</v>
      </c>
      <c r="G23" s="15" t="s">
        <v>30</v>
      </c>
      <c r="H23" s="15">
        <v>1000</v>
      </c>
      <c r="I23" s="15">
        <v>340</v>
      </c>
      <c r="J23" s="15">
        <v>660</v>
      </c>
      <c r="K23" s="17">
        <v>1.9</v>
      </c>
      <c r="L23" s="21">
        <f>IF(OR($K23="",B$1=""),"",$K23/B$1)</f>
        <v>0.41484716157205237</v>
      </c>
      <c r="M23" s="22">
        <f>IF(OR($K23="",C$1=""),"",$K23/C$1)</f>
        <v>0.47979797979797978</v>
      </c>
      <c r="N23" s="23">
        <f>IF(OR($K23="",D$1=""),"",$K23/D$1)</f>
        <v>12.666666666666666</v>
      </c>
    </row>
    <row r="24" spans="5:14" x14ac:dyDescent="0.25">
      <c r="E24" s="16">
        <v>19</v>
      </c>
      <c r="F24" s="15" t="s">
        <v>8</v>
      </c>
      <c r="G24" s="15" t="s">
        <v>32</v>
      </c>
      <c r="H24" s="15">
        <v>500</v>
      </c>
      <c r="I24" s="15">
        <v>48</v>
      </c>
      <c r="J24" s="15">
        <v>452</v>
      </c>
      <c r="K24" s="17">
        <v>3.1</v>
      </c>
      <c r="L24" s="21">
        <f>IF(OR($K24="",B$1=""),"",$K24/B$1)</f>
        <v>0.67685589519650657</v>
      </c>
      <c r="M24" s="22">
        <f>IF(OR($K24="",C$1=""),"",$K24/C$1)</f>
        <v>0.78282828282828287</v>
      </c>
      <c r="N24" s="23">
        <f>IF(OR($K24="",D$1=""),"",$K24/D$1)</f>
        <v>20.666666666666668</v>
      </c>
    </row>
    <row r="25" spans="5:14" x14ac:dyDescent="0.25">
      <c r="E25" s="16">
        <v>20</v>
      </c>
      <c r="F25" s="15" t="s">
        <v>9</v>
      </c>
      <c r="G25" s="15" t="s">
        <v>17</v>
      </c>
      <c r="H25" s="15">
        <v>1200</v>
      </c>
      <c r="I25" s="15">
        <v>720</v>
      </c>
      <c r="J25" s="15">
        <v>480</v>
      </c>
      <c r="K25" s="17">
        <v>1.1000000000000001</v>
      </c>
      <c r="L25" s="21">
        <f>IF(OR($K25="",B$1=""),"",$K25/B$1)</f>
        <v>0.24017467248908297</v>
      </c>
      <c r="M25" s="22">
        <f>IF(OR($K25="",C$1=""),"",$K25/C$1)</f>
        <v>0.27777777777777779</v>
      </c>
      <c r="N25" s="23">
        <f>IF(OR($K25="",D$1=""),"",$K25/D$1)</f>
        <v>7.3333333333333339</v>
      </c>
    </row>
    <row r="26" spans="5:14" x14ac:dyDescent="0.25">
      <c r="E26" s="16">
        <v>21</v>
      </c>
      <c r="F26" s="15" t="s">
        <v>9</v>
      </c>
      <c r="G26" s="15" t="s">
        <v>18</v>
      </c>
      <c r="H26" s="15">
        <v>1000</v>
      </c>
      <c r="I26" s="15">
        <v>560</v>
      </c>
      <c r="J26" s="15">
        <v>440</v>
      </c>
      <c r="K26" s="17">
        <v>1.3</v>
      </c>
      <c r="L26" s="21">
        <f>IF(OR($K26="",B$1=""),"",$K26/B$1)</f>
        <v>0.28384279475982532</v>
      </c>
      <c r="M26" s="22">
        <f>IF(OR($K26="",C$1=""),"",$K26/C$1)</f>
        <v>0.32828282828282829</v>
      </c>
      <c r="N26" s="23">
        <f>IF(OR($K26="",D$1=""),"",$K26/D$1)</f>
        <v>8.6666666666666679</v>
      </c>
    </row>
    <row r="27" spans="5:14" x14ac:dyDescent="0.25">
      <c r="E27" s="16">
        <v>22</v>
      </c>
      <c r="F27" s="15" t="s">
        <v>9</v>
      </c>
      <c r="G27" s="15" t="s">
        <v>19</v>
      </c>
      <c r="H27" s="15">
        <v>1000</v>
      </c>
      <c r="I27" s="15">
        <v>450</v>
      </c>
      <c r="J27" s="15">
        <v>550</v>
      </c>
      <c r="K27" s="17">
        <v>1.3</v>
      </c>
      <c r="L27" s="21">
        <f>IF(OR($K27="",B$1=""),"",$K27/B$1)</f>
        <v>0.28384279475982532</v>
      </c>
      <c r="M27" s="22">
        <f>IF(OR($K27="",C$1=""),"",$K27/C$1)</f>
        <v>0.32828282828282829</v>
      </c>
      <c r="N27" s="23">
        <f>IF(OR($K27="",D$1=""),"",$K27/D$1)</f>
        <v>8.6666666666666679</v>
      </c>
    </row>
    <row r="28" spans="5:14" x14ac:dyDescent="0.25">
      <c r="E28" s="16">
        <v>23</v>
      </c>
      <c r="F28" s="15" t="s">
        <v>9</v>
      </c>
      <c r="G28" s="15" t="s">
        <v>20</v>
      </c>
      <c r="H28" s="15">
        <v>1500</v>
      </c>
      <c r="I28" s="15">
        <v>890</v>
      </c>
      <c r="J28" s="15">
        <v>610</v>
      </c>
      <c r="K28" s="17">
        <v>1.2</v>
      </c>
      <c r="L28" s="21">
        <f>IF(OR($K28="",B$1=""),"",$K28/B$1)</f>
        <v>0.26200873362445415</v>
      </c>
      <c r="M28" s="22">
        <f>IF(OR($K28="",C$1=""),"",$K28/C$1)</f>
        <v>0.30303030303030304</v>
      </c>
      <c r="N28" s="23">
        <f>IF(OR($K28="",D$1=""),"",$K28/D$1)</f>
        <v>8</v>
      </c>
    </row>
    <row r="29" spans="5:14" x14ac:dyDescent="0.25">
      <c r="E29" s="16">
        <v>24</v>
      </c>
      <c r="F29" s="15" t="s">
        <v>9</v>
      </c>
      <c r="G29" s="15" t="s">
        <v>27</v>
      </c>
      <c r="H29" s="15">
        <v>600</v>
      </c>
      <c r="I29" s="15">
        <v>98</v>
      </c>
      <c r="J29" s="15">
        <v>502</v>
      </c>
      <c r="K29" s="17">
        <v>2.6</v>
      </c>
      <c r="L29" s="21">
        <f>IF(OR($K29="",B$1=""),"",$K29/B$1)</f>
        <v>0.56768558951965065</v>
      </c>
      <c r="M29" s="22">
        <f>IF(OR($K29="",C$1=""),"",$K29/C$1)</f>
        <v>0.65656565656565657</v>
      </c>
      <c r="N29" s="23">
        <f>IF(OR($K29="",D$1=""),"",$K29/D$1)</f>
        <v>17.333333333333336</v>
      </c>
    </row>
    <row r="30" spans="5:14" x14ac:dyDescent="0.25">
      <c r="E30" s="16">
        <v>25</v>
      </c>
      <c r="F30" s="15" t="s">
        <v>9</v>
      </c>
      <c r="G30" s="15" t="s">
        <v>28</v>
      </c>
      <c r="H30" s="15">
        <v>600</v>
      </c>
      <c r="I30" s="15">
        <v>120</v>
      </c>
      <c r="J30" s="15">
        <v>480</v>
      </c>
      <c r="K30" s="17">
        <v>2.6</v>
      </c>
      <c r="L30" s="21">
        <f>IF(OR($K30="",B$1=""),"",$K30/B$1)</f>
        <v>0.56768558951965065</v>
      </c>
      <c r="M30" s="22">
        <f>IF(OR($K30="",C$1=""),"",$K30/C$1)</f>
        <v>0.65656565656565657</v>
      </c>
      <c r="N30" s="23">
        <f>IF(OR($K30="",D$1=""),"",$K30/D$1)</f>
        <v>17.333333333333336</v>
      </c>
    </row>
    <row r="31" spans="5:14" x14ac:dyDescent="0.25">
      <c r="E31" s="16">
        <v>26</v>
      </c>
      <c r="F31" t="s">
        <v>63</v>
      </c>
      <c r="G31" t="s">
        <v>64</v>
      </c>
      <c r="H31">
        <v>2137</v>
      </c>
      <c r="I31">
        <v>69</v>
      </c>
      <c r="J31" s="15">
        <f>Tabela2[[#This Row],[dostawa '[ilość sztuk']]]-Tabela2[[#This Row],[sprzedaż '[ilość sztuk']]]</f>
        <v>2068</v>
      </c>
      <c r="K31" s="17">
        <v>90</v>
      </c>
      <c r="L31" s="21">
        <f>IF(OR($K31="",B$1=""),"",$K31/B$1)</f>
        <v>19.650655021834062</v>
      </c>
      <c r="M31" s="22">
        <f>IF(OR($K31="",C$1=""),"",$K31/C$1)</f>
        <v>22.727272727272727</v>
      </c>
      <c r="N31" s="23">
        <f>IF(OR($K31="",D$1=""),"",$K31/D$1)</f>
        <v>600</v>
      </c>
    </row>
  </sheetData>
  <phoneticPr fontId="2" type="noConversion"/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F1298-E9BB-4C33-BA2B-F4358397EC87}">
  <dimension ref="A1:G30"/>
  <sheetViews>
    <sheetView workbookViewId="0">
      <selection activeCell="K20" sqref="K20"/>
    </sheetView>
  </sheetViews>
  <sheetFormatPr defaultRowHeight="15" outlineLevelRow="1" x14ac:dyDescent="0.25"/>
  <cols>
    <col min="1" max="1" width="12.42578125" customWidth="1"/>
    <col min="2" max="2" width="29.5703125" customWidth="1"/>
    <col min="3" max="5" width="20" customWidth="1"/>
    <col min="6" max="6" width="18.140625" customWidth="1"/>
    <col min="7" max="7" width="21.85546875" customWidth="1"/>
  </cols>
  <sheetData>
    <row r="1" spans="1:7" ht="75" x14ac:dyDescent="0.25">
      <c r="A1" s="24" t="s">
        <v>0</v>
      </c>
      <c r="B1" s="24" t="s">
        <v>1</v>
      </c>
      <c r="C1" s="24" t="s">
        <v>2</v>
      </c>
      <c r="D1" s="24" t="s">
        <v>3</v>
      </c>
      <c r="E1" s="24" t="s">
        <v>6</v>
      </c>
      <c r="F1" s="24" t="s">
        <v>4</v>
      </c>
      <c r="G1" s="24" t="s">
        <v>58</v>
      </c>
    </row>
    <row r="2" spans="1:7" outlineLevel="1" x14ac:dyDescent="0.25">
      <c r="A2" s="31" t="s">
        <v>7</v>
      </c>
      <c r="B2" s="31" t="s">
        <v>21</v>
      </c>
      <c r="C2" s="25">
        <v>500</v>
      </c>
      <c r="D2" s="25">
        <v>23</v>
      </c>
      <c r="E2" s="25">
        <f>C2-D2</f>
        <v>477</v>
      </c>
      <c r="F2" s="26">
        <v>2.2999999999999998</v>
      </c>
      <c r="G2" s="26">
        <f>E2*F2</f>
        <v>1097.0999999999999</v>
      </c>
    </row>
    <row r="3" spans="1:7" outlineLevel="1" x14ac:dyDescent="0.25">
      <c r="A3" s="31" t="s">
        <v>7</v>
      </c>
      <c r="B3" s="31" t="s">
        <v>12</v>
      </c>
      <c r="C3" s="25">
        <v>200</v>
      </c>
      <c r="D3" s="25">
        <v>51</v>
      </c>
      <c r="E3" s="25">
        <f>C3-D3</f>
        <v>149</v>
      </c>
      <c r="F3" s="26">
        <v>4.5</v>
      </c>
      <c r="G3" s="26">
        <f>E3*F3</f>
        <v>670.5</v>
      </c>
    </row>
    <row r="4" spans="1:7" outlineLevel="1" x14ac:dyDescent="0.25">
      <c r="A4" s="31" t="s">
        <v>7</v>
      </c>
      <c r="B4" s="31" t="s">
        <v>13</v>
      </c>
      <c r="C4" s="25">
        <v>500</v>
      </c>
      <c r="D4" s="25">
        <v>128</v>
      </c>
      <c r="E4" s="25">
        <f>C4-D4</f>
        <v>372</v>
      </c>
      <c r="F4" s="26">
        <v>1.2</v>
      </c>
      <c r="G4" s="26">
        <f>E4*F4</f>
        <v>446.4</v>
      </c>
    </row>
    <row r="5" spans="1:7" outlineLevel="1" x14ac:dyDescent="0.25">
      <c r="A5" s="31" t="s">
        <v>7</v>
      </c>
      <c r="B5" s="31" t="s">
        <v>14</v>
      </c>
      <c r="C5" s="25">
        <v>700</v>
      </c>
      <c r="D5" s="25">
        <v>88</v>
      </c>
      <c r="E5" s="25">
        <f>C5-D5</f>
        <v>612</v>
      </c>
      <c r="F5" s="26">
        <v>1.2</v>
      </c>
      <c r="G5" s="26">
        <f>E5*F5</f>
        <v>734.4</v>
      </c>
    </row>
    <row r="6" spans="1:7" outlineLevel="1" x14ac:dyDescent="0.25">
      <c r="A6" s="31" t="s">
        <v>7</v>
      </c>
      <c r="B6" s="31" t="s">
        <v>15</v>
      </c>
      <c r="C6" s="25">
        <v>500</v>
      </c>
      <c r="D6" s="25">
        <v>45</v>
      </c>
      <c r="E6" s="25">
        <f>C6-D6</f>
        <v>455</v>
      </c>
      <c r="F6" s="26">
        <v>1.2</v>
      </c>
      <c r="G6" s="26">
        <f>E6*F6</f>
        <v>546</v>
      </c>
    </row>
    <row r="7" spans="1:7" outlineLevel="1" x14ac:dyDescent="0.25">
      <c r="A7" s="31" t="s">
        <v>7</v>
      </c>
      <c r="B7" s="31" t="s">
        <v>16</v>
      </c>
      <c r="C7" s="25">
        <v>500</v>
      </c>
      <c r="D7" s="25">
        <v>56</v>
      </c>
      <c r="E7" s="25">
        <f>C7-D7</f>
        <v>444</v>
      </c>
      <c r="F7" s="26">
        <v>1.2</v>
      </c>
      <c r="G7" s="26">
        <f>E7*F7</f>
        <v>532.79999999999995</v>
      </c>
    </row>
    <row r="8" spans="1:7" outlineLevel="1" x14ac:dyDescent="0.25">
      <c r="A8" s="31" t="s">
        <v>7</v>
      </c>
      <c r="B8" s="31" t="s">
        <v>22</v>
      </c>
      <c r="C8" s="25">
        <v>400</v>
      </c>
      <c r="D8" s="25">
        <v>96</v>
      </c>
      <c r="E8" s="25">
        <f>C8-D8</f>
        <v>304</v>
      </c>
      <c r="F8" s="26">
        <v>3.8</v>
      </c>
      <c r="G8" s="26">
        <f>E8*F8</f>
        <v>1155.2</v>
      </c>
    </row>
    <row r="9" spans="1:7" outlineLevel="1" x14ac:dyDescent="0.25">
      <c r="A9" s="31" t="s">
        <v>7</v>
      </c>
      <c r="B9" s="31" t="s">
        <v>23</v>
      </c>
      <c r="C9" s="25">
        <v>100</v>
      </c>
      <c r="D9" s="25">
        <v>20</v>
      </c>
      <c r="E9" s="25">
        <f>C9-D9</f>
        <v>80</v>
      </c>
      <c r="F9" s="26">
        <v>5.6</v>
      </c>
      <c r="G9" s="26">
        <f>E9*F9</f>
        <v>448</v>
      </c>
    </row>
    <row r="10" spans="1:7" outlineLevel="1" x14ac:dyDescent="0.25">
      <c r="A10" s="31" t="s">
        <v>7</v>
      </c>
      <c r="B10" s="31" t="s">
        <v>24</v>
      </c>
      <c r="C10" s="25">
        <v>200</v>
      </c>
      <c r="D10" s="25">
        <v>46</v>
      </c>
      <c r="E10" s="25">
        <f>C10-D10</f>
        <v>154</v>
      </c>
      <c r="F10" s="26">
        <v>7.9</v>
      </c>
      <c r="G10" s="26">
        <f>E10*F10</f>
        <v>1216.6000000000001</v>
      </c>
    </row>
    <row r="11" spans="1:7" outlineLevel="1" x14ac:dyDescent="0.25">
      <c r="A11" s="31" t="s">
        <v>7</v>
      </c>
      <c r="B11" s="31" t="s">
        <v>25</v>
      </c>
      <c r="C11" s="25">
        <v>800</v>
      </c>
      <c r="D11" s="25">
        <v>142</v>
      </c>
      <c r="E11" s="25">
        <f>C11-D11</f>
        <v>658</v>
      </c>
      <c r="F11" s="26">
        <v>1.3</v>
      </c>
      <c r="G11" s="26">
        <f>E11*F11</f>
        <v>855.4</v>
      </c>
    </row>
    <row r="12" spans="1:7" outlineLevel="1" x14ac:dyDescent="0.25">
      <c r="A12" s="31" t="s">
        <v>7</v>
      </c>
      <c r="B12" s="31" t="s">
        <v>26</v>
      </c>
      <c r="C12" s="25">
        <v>800</v>
      </c>
      <c r="D12" s="25">
        <v>102</v>
      </c>
      <c r="E12" s="25">
        <f>C12-D12</f>
        <v>698</v>
      </c>
      <c r="F12" s="26">
        <v>1.3</v>
      </c>
      <c r="G12" s="26">
        <f>E12*F12</f>
        <v>907.4</v>
      </c>
    </row>
    <row r="13" spans="1:7" outlineLevel="1" x14ac:dyDescent="0.25">
      <c r="A13" s="31" t="s">
        <v>7</v>
      </c>
      <c r="B13" s="31" t="s">
        <v>31</v>
      </c>
      <c r="C13" s="25">
        <v>200</v>
      </c>
      <c r="D13" s="25">
        <v>56</v>
      </c>
      <c r="E13" s="25">
        <f>C13-D13</f>
        <v>144</v>
      </c>
      <c r="F13" s="26">
        <v>2.9</v>
      </c>
      <c r="G13" s="26">
        <f>E13*F13</f>
        <v>417.59999999999997</v>
      </c>
    </row>
    <row r="14" spans="1:7" outlineLevel="1" x14ac:dyDescent="0.25">
      <c r="A14" s="31" t="s">
        <v>7</v>
      </c>
      <c r="B14" s="31" t="s">
        <v>33</v>
      </c>
      <c r="C14" s="25">
        <v>120</v>
      </c>
      <c r="D14" s="25">
        <v>20</v>
      </c>
      <c r="E14" s="25">
        <f>C14-D14</f>
        <v>100</v>
      </c>
      <c r="F14" s="26">
        <v>2.1</v>
      </c>
      <c r="G14" s="26">
        <f>E14*F14</f>
        <v>210</v>
      </c>
    </row>
    <row r="15" spans="1:7" outlineLevel="1" x14ac:dyDescent="0.25">
      <c r="A15" s="31" t="s">
        <v>7</v>
      </c>
      <c r="B15" s="31" t="s">
        <v>34</v>
      </c>
      <c r="C15" s="25">
        <v>120</v>
      </c>
      <c r="D15" s="25">
        <v>12</v>
      </c>
      <c r="E15" s="25">
        <f>C15-D15</f>
        <v>108</v>
      </c>
      <c r="F15" s="26">
        <v>3.7</v>
      </c>
      <c r="G15" s="26">
        <f>E15*F15</f>
        <v>399.6</v>
      </c>
    </row>
    <row r="16" spans="1:7" x14ac:dyDescent="0.25">
      <c r="A16" s="32" t="s">
        <v>7</v>
      </c>
      <c r="B16" s="32" t="s">
        <v>65</v>
      </c>
      <c r="C16" s="27"/>
      <c r="D16" s="27"/>
      <c r="E16" s="27">
        <f>SUBTOTAL(9,E2:E15)</f>
        <v>4755</v>
      </c>
      <c r="F16" s="28"/>
      <c r="G16" s="28">
        <f>SUBTOTAL(9,G2:G15)</f>
        <v>9637</v>
      </c>
    </row>
    <row r="17" spans="1:7" outlineLevel="1" x14ac:dyDescent="0.25">
      <c r="A17" s="31" t="s">
        <v>8</v>
      </c>
      <c r="B17" s="31" t="s">
        <v>10</v>
      </c>
      <c r="C17" s="25">
        <v>500</v>
      </c>
      <c r="D17" s="25">
        <v>56</v>
      </c>
      <c r="E17" s="25">
        <f>C17-D17</f>
        <v>444</v>
      </c>
      <c r="F17" s="26">
        <v>0.8</v>
      </c>
      <c r="G17" s="26">
        <f>E17*F17</f>
        <v>355.20000000000005</v>
      </c>
    </row>
    <row r="18" spans="1:7" outlineLevel="1" x14ac:dyDescent="0.25">
      <c r="A18" s="31" t="s">
        <v>8</v>
      </c>
      <c r="B18" s="31" t="s">
        <v>11</v>
      </c>
      <c r="C18" s="25">
        <v>150</v>
      </c>
      <c r="D18" s="25">
        <v>89</v>
      </c>
      <c r="E18" s="25">
        <f>C18-D18</f>
        <v>61</v>
      </c>
      <c r="F18" s="26">
        <v>0.9</v>
      </c>
      <c r="G18" s="26">
        <f>E18*F18</f>
        <v>54.9</v>
      </c>
    </row>
    <row r="19" spans="1:7" outlineLevel="1" x14ac:dyDescent="0.25">
      <c r="A19" s="31" t="s">
        <v>8</v>
      </c>
      <c r="B19" s="31" t="s">
        <v>29</v>
      </c>
      <c r="C19" s="25">
        <v>1000</v>
      </c>
      <c r="D19" s="25">
        <v>220</v>
      </c>
      <c r="E19" s="25">
        <f>C19-D19</f>
        <v>780</v>
      </c>
      <c r="F19" s="26">
        <v>1.9</v>
      </c>
      <c r="G19" s="26">
        <f>E19*F19</f>
        <v>1482</v>
      </c>
    </row>
    <row r="20" spans="1:7" outlineLevel="1" x14ac:dyDescent="0.25">
      <c r="A20" s="31" t="s">
        <v>8</v>
      </c>
      <c r="B20" s="31" t="s">
        <v>30</v>
      </c>
      <c r="C20" s="25">
        <v>1000</v>
      </c>
      <c r="D20" s="25">
        <v>340</v>
      </c>
      <c r="E20" s="25">
        <f>C20-D20</f>
        <v>660</v>
      </c>
      <c r="F20" s="26">
        <v>1.9</v>
      </c>
      <c r="G20" s="26">
        <f>E20*F20</f>
        <v>1254</v>
      </c>
    </row>
    <row r="21" spans="1:7" outlineLevel="1" x14ac:dyDescent="0.25">
      <c r="A21" s="31" t="s">
        <v>8</v>
      </c>
      <c r="B21" s="31" t="s">
        <v>32</v>
      </c>
      <c r="C21" s="25">
        <v>500</v>
      </c>
      <c r="D21" s="25">
        <v>48</v>
      </c>
      <c r="E21" s="25">
        <f>C21-D21</f>
        <v>452</v>
      </c>
      <c r="F21" s="26">
        <v>3.1</v>
      </c>
      <c r="G21" s="26">
        <f>E21*F21</f>
        <v>1401.2</v>
      </c>
    </row>
    <row r="22" spans="1:7" x14ac:dyDescent="0.25">
      <c r="A22" s="32" t="s">
        <v>8</v>
      </c>
      <c r="B22" s="32" t="s">
        <v>65</v>
      </c>
      <c r="C22" s="27"/>
      <c r="D22" s="27"/>
      <c r="E22" s="27">
        <f>SUBTOTAL(9,E17:E21)</f>
        <v>2397</v>
      </c>
      <c r="F22" s="28"/>
      <c r="G22" s="28">
        <f>SUBTOTAL(9,G17:G21)</f>
        <v>4547.3</v>
      </c>
    </row>
    <row r="23" spans="1:7" outlineLevel="1" x14ac:dyDescent="0.25">
      <c r="A23" s="31" t="s">
        <v>9</v>
      </c>
      <c r="B23" s="31" t="s">
        <v>17</v>
      </c>
      <c r="C23" s="25">
        <v>1200</v>
      </c>
      <c r="D23" s="25">
        <v>720</v>
      </c>
      <c r="E23" s="25">
        <f>C23-D23</f>
        <v>480</v>
      </c>
      <c r="F23" s="26">
        <v>1.1000000000000001</v>
      </c>
      <c r="G23" s="26">
        <f>E23*F23</f>
        <v>528</v>
      </c>
    </row>
    <row r="24" spans="1:7" outlineLevel="1" x14ac:dyDescent="0.25">
      <c r="A24" s="31" t="s">
        <v>9</v>
      </c>
      <c r="B24" s="31" t="s">
        <v>18</v>
      </c>
      <c r="C24" s="25">
        <v>1000</v>
      </c>
      <c r="D24" s="25">
        <v>560</v>
      </c>
      <c r="E24" s="25">
        <f>C24-D24</f>
        <v>440</v>
      </c>
      <c r="F24" s="26">
        <v>1.3</v>
      </c>
      <c r="G24" s="26">
        <f>E24*F24</f>
        <v>572</v>
      </c>
    </row>
    <row r="25" spans="1:7" outlineLevel="1" x14ac:dyDescent="0.25">
      <c r="A25" s="31" t="s">
        <v>9</v>
      </c>
      <c r="B25" s="31" t="s">
        <v>19</v>
      </c>
      <c r="C25" s="25">
        <v>1000</v>
      </c>
      <c r="D25" s="25">
        <v>450</v>
      </c>
      <c r="E25" s="25">
        <f>C25-D25</f>
        <v>550</v>
      </c>
      <c r="F25" s="26">
        <v>1.3</v>
      </c>
      <c r="G25" s="26">
        <f>E25*F25</f>
        <v>715</v>
      </c>
    </row>
    <row r="26" spans="1:7" outlineLevel="1" x14ac:dyDescent="0.25">
      <c r="A26" s="31" t="s">
        <v>9</v>
      </c>
      <c r="B26" s="31" t="s">
        <v>20</v>
      </c>
      <c r="C26" s="25">
        <v>1500</v>
      </c>
      <c r="D26" s="25">
        <v>890</v>
      </c>
      <c r="E26" s="25">
        <f>C26-D26</f>
        <v>610</v>
      </c>
      <c r="F26" s="26">
        <v>1.2</v>
      </c>
      <c r="G26" s="26">
        <f>E26*F26</f>
        <v>732</v>
      </c>
    </row>
    <row r="27" spans="1:7" outlineLevel="1" x14ac:dyDescent="0.25">
      <c r="A27" s="31" t="s">
        <v>9</v>
      </c>
      <c r="B27" s="31" t="s">
        <v>27</v>
      </c>
      <c r="C27" s="25">
        <v>600</v>
      </c>
      <c r="D27" s="25">
        <v>98</v>
      </c>
      <c r="E27" s="25">
        <f>C27-D27</f>
        <v>502</v>
      </c>
      <c r="F27" s="26">
        <v>2.6</v>
      </c>
      <c r="G27" s="26">
        <f>E27*F27</f>
        <v>1305.2</v>
      </c>
    </row>
    <row r="28" spans="1:7" outlineLevel="1" x14ac:dyDescent="0.25">
      <c r="A28" s="31" t="s">
        <v>9</v>
      </c>
      <c r="B28" s="31" t="s">
        <v>28</v>
      </c>
      <c r="C28" s="25">
        <v>600</v>
      </c>
      <c r="D28" s="25">
        <v>120</v>
      </c>
      <c r="E28" s="25">
        <f>C28-D28</f>
        <v>480</v>
      </c>
      <c r="F28" s="26">
        <v>2.6</v>
      </c>
      <c r="G28" s="26">
        <f>E28*F28</f>
        <v>1248</v>
      </c>
    </row>
    <row r="29" spans="1:7" x14ac:dyDescent="0.25">
      <c r="A29" s="32" t="s">
        <v>9</v>
      </c>
      <c r="B29" s="32" t="s">
        <v>65</v>
      </c>
      <c r="C29" s="27"/>
      <c r="D29" s="27"/>
      <c r="E29" s="27">
        <f>SUBTOTAL(9,E23:E28)</f>
        <v>3062</v>
      </c>
      <c r="F29" s="28"/>
      <c r="G29" s="28">
        <f>SUBTOTAL(9,G23:G28)</f>
        <v>5100.2</v>
      </c>
    </row>
    <row r="30" spans="1:7" x14ac:dyDescent="0.25">
      <c r="A30" s="33" t="s">
        <v>66</v>
      </c>
      <c r="B30" s="33" t="s">
        <v>67</v>
      </c>
      <c r="C30" s="29"/>
      <c r="D30" s="29"/>
      <c r="E30" s="29">
        <f>SUBTOTAL(9,E2:E29)</f>
        <v>10214</v>
      </c>
      <c r="F30" s="30"/>
      <c r="G30" s="30">
        <f>SUBTOTAL(9,G2:G29)</f>
        <v>19284.500000000004</v>
      </c>
    </row>
  </sheetData>
  <sortState xmlns:xlrd2="http://schemas.microsoft.com/office/spreadsheetml/2017/richdata2" ref="A2:F28">
    <sortCondition ref="A2:A28"/>
  </sortState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5701D-C022-400E-8D7B-9F19821A3522}">
  <dimension ref="A1:H21"/>
  <sheetViews>
    <sheetView workbookViewId="0">
      <selection activeCell="H20" sqref="H20"/>
    </sheetView>
  </sheetViews>
  <sheetFormatPr defaultRowHeight="15" x14ac:dyDescent="0.25"/>
  <cols>
    <col min="1" max="1" width="20" customWidth="1"/>
    <col min="2" max="2" width="16.140625" customWidth="1"/>
    <col min="3" max="3" width="17.140625" customWidth="1"/>
    <col min="4" max="5" width="14.28515625" customWidth="1"/>
    <col min="6" max="6" width="3.42578125" customWidth="1"/>
    <col min="7" max="7" width="19" customWidth="1"/>
    <col min="8" max="8" width="18.140625" customWidth="1"/>
  </cols>
  <sheetData>
    <row r="1" spans="1:8" ht="30" customHeight="1" x14ac:dyDescent="0.25">
      <c r="A1" s="34" t="s">
        <v>39</v>
      </c>
      <c r="B1" s="34"/>
      <c r="C1" s="34"/>
      <c r="D1" s="34"/>
      <c r="E1" s="9"/>
      <c r="F1" s="9"/>
      <c r="G1" s="9"/>
      <c r="H1" s="9"/>
    </row>
    <row r="2" spans="1:8" x14ac:dyDescent="0.25">
      <c r="A2" s="37" t="s">
        <v>40</v>
      </c>
      <c r="B2" s="37" t="s">
        <v>75</v>
      </c>
      <c r="C2" s="37" t="s">
        <v>76</v>
      </c>
      <c r="D2" s="37" t="s">
        <v>41</v>
      </c>
      <c r="E2" s="37" t="s">
        <v>42</v>
      </c>
      <c r="F2" s="9"/>
      <c r="G2" s="37" t="s">
        <v>40</v>
      </c>
      <c r="H2" s="37" t="s">
        <v>77</v>
      </c>
    </row>
    <row r="3" spans="1:8" x14ac:dyDescent="0.25">
      <c r="A3" s="40" t="s">
        <v>43</v>
      </c>
      <c r="B3" s="40" t="s">
        <v>46</v>
      </c>
      <c r="C3" s="40"/>
      <c r="D3" s="38">
        <v>2350</v>
      </c>
      <c r="E3" s="39">
        <v>4</v>
      </c>
      <c r="F3" s="9"/>
      <c r="G3" s="40" t="s">
        <v>43</v>
      </c>
      <c r="H3" s="41">
        <f>AVERAGEIF($A$3:$A$21,G3,$D$3:$D$21)</f>
        <v>1744.2857142857142</v>
      </c>
    </row>
    <row r="4" spans="1:8" x14ac:dyDescent="0.25">
      <c r="A4" s="40" t="s">
        <v>43</v>
      </c>
      <c r="B4" s="40" t="s">
        <v>47</v>
      </c>
      <c r="C4" s="40"/>
      <c r="D4" s="38">
        <v>1900</v>
      </c>
      <c r="E4" s="39">
        <v>5</v>
      </c>
      <c r="F4" s="9"/>
      <c r="G4" s="40" t="s">
        <v>73</v>
      </c>
      <c r="H4" s="41">
        <f t="shared" ref="H4:H5" si="0">AVERAGEIF($A$3:$A$21,G4,$D$3:$D$21)</f>
        <v>634</v>
      </c>
    </row>
    <row r="5" spans="1:8" x14ac:dyDescent="0.25">
      <c r="A5" s="40" t="s">
        <v>73</v>
      </c>
      <c r="B5" s="40" t="s">
        <v>46</v>
      </c>
      <c r="C5" s="40" t="s">
        <v>68</v>
      </c>
      <c r="D5" s="38">
        <v>640</v>
      </c>
      <c r="E5" s="39">
        <v>15</v>
      </c>
      <c r="F5" s="9"/>
      <c r="G5" s="40" t="s">
        <v>74</v>
      </c>
      <c r="H5" s="41">
        <f t="shared" si="0"/>
        <v>411.42857142857144</v>
      </c>
    </row>
    <row r="6" spans="1:8" x14ac:dyDescent="0.25">
      <c r="A6" s="40" t="s">
        <v>43</v>
      </c>
      <c r="B6" s="40" t="s">
        <v>49</v>
      </c>
      <c r="C6" s="40"/>
      <c r="D6" s="38">
        <v>2030</v>
      </c>
      <c r="E6" s="39">
        <v>6</v>
      </c>
      <c r="F6" s="9"/>
      <c r="G6" s="9"/>
      <c r="H6" s="9"/>
    </row>
    <row r="7" spans="1:8" x14ac:dyDescent="0.25">
      <c r="A7" s="40" t="s">
        <v>73</v>
      </c>
      <c r="B7" s="40" t="s">
        <v>46</v>
      </c>
      <c r="C7" s="40" t="s">
        <v>69</v>
      </c>
      <c r="D7" s="38">
        <v>980</v>
      </c>
      <c r="E7" s="39">
        <v>5</v>
      </c>
      <c r="F7" s="9"/>
      <c r="G7" s="9"/>
      <c r="H7" s="9"/>
    </row>
    <row r="8" spans="1:8" x14ac:dyDescent="0.25">
      <c r="A8" s="40" t="s">
        <v>73</v>
      </c>
      <c r="B8" s="40" t="s">
        <v>70</v>
      </c>
      <c r="C8" s="40" t="s">
        <v>71</v>
      </c>
      <c r="D8" s="38">
        <v>680</v>
      </c>
      <c r="E8" s="39">
        <v>6</v>
      </c>
      <c r="F8" s="9"/>
      <c r="G8" s="9"/>
      <c r="H8" s="9"/>
    </row>
    <row r="9" spans="1:8" x14ac:dyDescent="0.25">
      <c r="A9" s="40" t="s">
        <v>74</v>
      </c>
      <c r="B9" s="40" t="s">
        <v>47</v>
      </c>
      <c r="C9" s="40"/>
      <c r="D9" s="38">
        <v>480</v>
      </c>
      <c r="E9" s="39">
        <v>9</v>
      </c>
      <c r="F9" s="9"/>
      <c r="G9" s="9"/>
      <c r="H9" s="9"/>
    </row>
    <row r="10" spans="1:8" x14ac:dyDescent="0.25">
      <c r="A10" s="40" t="s">
        <v>73</v>
      </c>
      <c r="B10" s="40" t="s">
        <v>55</v>
      </c>
      <c r="C10" s="40"/>
      <c r="D10" s="38">
        <v>390</v>
      </c>
      <c r="E10" s="39">
        <v>8</v>
      </c>
      <c r="F10" s="9"/>
      <c r="G10" s="9"/>
      <c r="H10" s="9"/>
    </row>
    <row r="11" spans="1:8" x14ac:dyDescent="0.25">
      <c r="A11" s="40" t="s">
        <v>73</v>
      </c>
      <c r="B11" s="40" t="s">
        <v>70</v>
      </c>
      <c r="C11" s="40" t="s">
        <v>72</v>
      </c>
      <c r="D11" s="38">
        <v>480</v>
      </c>
      <c r="E11" s="39">
        <v>12</v>
      </c>
      <c r="F11" s="9"/>
      <c r="G11" s="9"/>
      <c r="H11" s="9"/>
    </row>
    <row r="12" spans="1:8" x14ac:dyDescent="0.25">
      <c r="A12" s="40" t="s">
        <v>74</v>
      </c>
      <c r="B12" s="40" t="s">
        <v>48</v>
      </c>
      <c r="C12" s="40"/>
      <c r="D12" s="38">
        <v>280</v>
      </c>
      <c r="E12" s="39">
        <v>5</v>
      </c>
      <c r="F12" s="9"/>
      <c r="G12" s="9"/>
      <c r="H12" s="9"/>
    </row>
    <row r="13" spans="1:8" x14ac:dyDescent="0.25">
      <c r="A13" s="40" t="s">
        <v>74</v>
      </c>
      <c r="B13" s="40" t="s">
        <v>51</v>
      </c>
      <c r="C13" s="40"/>
      <c r="D13" s="38">
        <v>430</v>
      </c>
      <c r="E13" s="39">
        <v>7</v>
      </c>
      <c r="F13" s="9"/>
      <c r="G13" s="9"/>
      <c r="H13" s="9"/>
    </row>
    <row r="14" spans="1:8" x14ac:dyDescent="0.25">
      <c r="A14" s="40" t="s">
        <v>43</v>
      </c>
      <c r="B14" s="40" t="s">
        <v>45</v>
      </c>
      <c r="C14" s="40"/>
      <c r="D14" s="38">
        <v>2150</v>
      </c>
      <c r="E14" s="39">
        <v>3</v>
      </c>
      <c r="F14" s="9"/>
      <c r="G14" s="9"/>
      <c r="H14" s="9"/>
    </row>
    <row r="15" spans="1:8" x14ac:dyDescent="0.25">
      <c r="A15" s="40" t="s">
        <v>74</v>
      </c>
      <c r="B15" s="40" t="s">
        <v>45</v>
      </c>
      <c r="C15" s="40"/>
      <c r="D15" s="38">
        <v>610</v>
      </c>
      <c r="E15" s="39">
        <v>8</v>
      </c>
      <c r="F15" s="9"/>
      <c r="G15" s="9"/>
      <c r="H15" s="9"/>
    </row>
    <row r="16" spans="1:8" x14ac:dyDescent="0.25">
      <c r="A16" s="40" t="s">
        <v>43</v>
      </c>
      <c r="B16" s="40" t="s">
        <v>50</v>
      </c>
      <c r="C16" s="40"/>
      <c r="D16" s="38">
        <v>1330</v>
      </c>
      <c r="E16" s="39">
        <v>7</v>
      </c>
      <c r="F16" s="9"/>
      <c r="G16" s="9"/>
      <c r="H16" s="9"/>
    </row>
    <row r="17" spans="1:8" x14ac:dyDescent="0.25">
      <c r="A17" s="40" t="s">
        <v>74</v>
      </c>
      <c r="B17" s="40" t="s">
        <v>53</v>
      </c>
      <c r="C17" s="40"/>
      <c r="D17" s="38">
        <v>310</v>
      </c>
      <c r="E17" s="39">
        <v>13</v>
      </c>
      <c r="F17" s="9"/>
      <c r="G17" s="9"/>
      <c r="H17" s="9"/>
    </row>
    <row r="18" spans="1:8" x14ac:dyDescent="0.25">
      <c r="A18" s="40" t="s">
        <v>74</v>
      </c>
      <c r="B18" s="40" t="s">
        <v>54</v>
      </c>
      <c r="C18" s="40"/>
      <c r="D18" s="38">
        <v>180</v>
      </c>
      <c r="E18" s="39">
        <v>14</v>
      </c>
      <c r="F18" s="9"/>
      <c r="G18" s="9"/>
      <c r="H18" s="9"/>
    </row>
    <row r="19" spans="1:8" x14ac:dyDescent="0.25">
      <c r="A19" s="40" t="s">
        <v>74</v>
      </c>
      <c r="B19" s="40" t="s">
        <v>46</v>
      </c>
      <c r="C19" s="40"/>
      <c r="D19" s="38">
        <v>590</v>
      </c>
      <c r="E19" s="39">
        <v>15</v>
      </c>
      <c r="F19" s="9"/>
      <c r="G19" s="9"/>
      <c r="H19" s="9"/>
    </row>
    <row r="20" spans="1:8" x14ac:dyDescent="0.25">
      <c r="A20" s="40" t="s">
        <v>43</v>
      </c>
      <c r="B20" s="40" t="s">
        <v>44</v>
      </c>
      <c r="C20" s="40"/>
      <c r="D20" s="38">
        <v>1200</v>
      </c>
      <c r="E20" s="39">
        <v>0</v>
      </c>
      <c r="F20" s="9"/>
      <c r="G20" s="9"/>
      <c r="H20" s="9"/>
    </row>
    <row r="21" spans="1:8" x14ac:dyDescent="0.25">
      <c r="A21" s="40" t="s">
        <v>43</v>
      </c>
      <c r="B21" s="40" t="s">
        <v>52</v>
      </c>
      <c r="C21" s="40"/>
      <c r="D21" s="38">
        <v>1250</v>
      </c>
      <c r="E21" s="39">
        <v>9</v>
      </c>
      <c r="F21" s="9"/>
      <c r="G21" s="9"/>
      <c r="H21" s="9"/>
    </row>
  </sheetData>
  <sortState xmlns:xlrd2="http://schemas.microsoft.com/office/spreadsheetml/2017/richdata2" ref="A7:E22">
    <sortCondition ref="A2:A22"/>
  </sortState>
  <mergeCells count="1">
    <mergeCell ref="A1:D1"/>
  </mergeCells>
  <conditionalFormatting sqref="E3:E21">
    <cfRule type="cellIs" dxfId="6" priority="1" operator="equal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07D39-0EA4-4BB1-A39A-A29230F1469D}">
  <dimension ref="A1:F15"/>
  <sheetViews>
    <sheetView topLeftCell="A3" workbookViewId="0">
      <selection activeCell="G30" sqref="G30"/>
    </sheetView>
  </sheetViews>
  <sheetFormatPr defaultRowHeight="15" x14ac:dyDescent="0.25"/>
  <cols>
    <col min="1" max="1" width="21" customWidth="1"/>
    <col min="2" max="6" width="16.140625" customWidth="1"/>
  </cols>
  <sheetData>
    <row r="1" spans="1:6" ht="30" customHeight="1" x14ac:dyDescent="0.25">
      <c r="A1" s="44" t="s">
        <v>78</v>
      </c>
      <c r="B1" s="44"/>
      <c r="C1" s="44"/>
      <c r="D1" s="44"/>
      <c r="E1" s="44"/>
      <c r="F1" s="44"/>
    </row>
    <row r="2" spans="1:6" x14ac:dyDescent="0.25">
      <c r="A2" s="45" t="s">
        <v>79</v>
      </c>
      <c r="B2" s="45"/>
      <c r="C2" s="45"/>
      <c r="D2" s="45"/>
      <c r="E2" s="45"/>
      <c r="F2" s="45"/>
    </row>
    <row r="4" spans="1:6" x14ac:dyDescent="0.25">
      <c r="A4" s="36" t="s">
        <v>80</v>
      </c>
      <c r="B4" s="36" t="s">
        <v>81</v>
      </c>
      <c r="C4" s="36" t="s">
        <v>82</v>
      </c>
      <c r="D4" s="36" t="s">
        <v>83</v>
      </c>
      <c r="E4" s="36" t="s">
        <v>84</v>
      </c>
      <c r="F4" s="36" t="s">
        <v>85</v>
      </c>
    </row>
    <row r="5" spans="1:6" x14ac:dyDescent="0.25">
      <c r="A5" t="s">
        <v>86</v>
      </c>
      <c r="B5" s="42">
        <v>55000</v>
      </c>
      <c r="C5" s="42">
        <v>55000</v>
      </c>
      <c r="D5" s="42">
        <v>62000</v>
      </c>
      <c r="E5" s="42">
        <v>63000</v>
      </c>
      <c r="F5" s="42">
        <v>65000</v>
      </c>
    </row>
    <row r="6" spans="1:6" x14ac:dyDescent="0.25">
      <c r="A6" t="s">
        <v>87</v>
      </c>
      <c r="B6" s="42">
        <v>41000</v>
      </c>
      <c r="C6" s="42">
        <v>39000</v>
      </c>
      <c r="D6" s="42">
        <v>38000</v>
      </c>
      <c r="E6" s="42">
        <v>37000</v>
      </c>
      <c r="F6" s="42">
        <v>36000</v>
      </c>
    </row>
    <row r="7" spans="1:6" x14ac:dyDescent="0.25">
      <c r="A7" t="s">
        <v>88</v>
      </c>
      <c r="B7" s="42">
        <v>13500</v>
      </c>
      <c r="C7" s="42">
        <v>13700</v>
      </c>
      <c r="D7" s="42">
        <v>13900</v>
      </c>
      <c r="E7" s="42">
        <v>14000</v>
      </c>
      <c r="F7" s="42">
        <v>13800</v>
      </c>
    </row>
    <row r="8" spans="1:6" x14ac:dyDescent="0.25">
      <c r="A8" t="s">
        <v>89</v>
      </c>
      <c r="B8" s="42">
        <v>12100</v>
      </c>
      <c r="C8" s="42">
        <v>12300</v>
      </c>
      <c r="D8" s="42">
        <v>12000</v>
      </c>
      <c r="E8" s="42">
        <v>12300</v>
      </c>
      <c r="F8" s="42">
        <v>12300</v>
      </c>
    </row>
    <row r="9" spans="1:6" x14ac:dyDescent="0.25">
      <c r="A9" t="s">
        <v>90</v>
      </c>
      <c r="B9" s="42">
        <v>210000</v>
      </c>
      <c r="C9" s="42">
        <v>199000</v>
      </c>
      <c r="D9" s="42">
        <v>192000</v>
      </c>
      <c r="E9" s="42">
        <v>189000</v>
      </c>
      <c r="F9" s="42">
        <v>188300</v>
      </c>
    </row>
    <row r="10" spans="1:6" x14ac:dyDescent="0.25">
      <c r="A10" t="s">
        <v>91</v>
      </c>
      <c r="B10" s="42">
        <v>67314</v>
      </c>
      <c r="C10" s="42">
        <v>69000</v>
      </c>
      <c r="D10" s="42">
        <v>72000</v>
      </c>
      <c r="E10" s="42">
        <v>68450</v>
      </c>
      <c r="F10" s="42">
        <v>70001</v>
      </c>
    </row>
    <row r="11" spans="1:6" x14ac:dyDescent="0.25">
      <c r="A11" t="s">
        <v>92</v>
      </c>
      <c r="B11" s="42">
        <v>21000</v>
      </c>
      <c r="C11" s="42">
        <v>19500</v>
      </c>
      <c r="D11" s="42">
        <v>19200</v>
      </c>
      <c r="E11" s="42">
        <v>20800</v>
      </c>
      <c r="F11" s="42">
        <v>21250</v>
      </c>
    </row>
    <row r="12" spans="1:6" x14ac:dyDescent="0.25">
      <c r="A12" t="s">
        <v>93</v>
      </c>
      <c r="B12" s="42">
        <v>64300</v>
      </c>
      <c r="C12" s="42">
        <v>67000</v>
      </c>
      <c r="D12" s="42">
        <v>73000</v>
      </c>
      <c r="E12" s="42">
        <v>76000</v>
      </c>
      <c r="F12" s="42">
        <v>70000</v>
      </c>
    </row>
    <row r="13" spans="1:6" x14ac:dyDescent="0.25">
      <c r="A13" t="s">
        <v>94</v>
      </c>
      <c r="B13" s="42">
        <v>21400</v>
      </c>
      <c r="C13" s="42">
        <v>22000</v>
      </c>
      <c r="D13" s="42">
        <v>22200</v>
      </c>
      <c r="E13" s="42">
        <v>23000</v>
      </c>
      <c r="F13" s="42">
        <v>22200</v>
      </c>
    </row>
    <row r="14" spans="1:6" x14ac:dyDescent="0.25">
      <c r="A14" t="s">
        <v>95</v>
      </c>
      <c r="B14" s="42">
        <v>55800</v>
      </c>
      <c r="C14" s="42">
        <v>55900</v>
      </c>
      <c r="D14" s="42">
        <v>55700</v>
      </c>
      <c r="E14" s="42">
        <v>55900</v>
      </c>
      <c r="F14" s="42">
        <v>56000</v>
      </c>
    </row>
    <row r="15" spans="1:6" x14ac:dyDescent="0.25">
      <c r="A15" t="s">
        <v>96</v>
      </c>
      <c r="B15" s="42">
        <v>25000</v>
      </c>
      <c r="C15" s="42">
        <v>27000</v>
      </c>
      <c r="D15" s="42">
        <v>30000</v>
      </c>
      <c r="E15" s="42">
        <v>30000</v>
      </c>
      <c r="F15" s="42">
        <v>36000</v>
      </c>
    </row>
  </sheetData>
  <mergeCells count="2">
    <mergeCell ref="A1:F1"/>
    <mergeCell ref="A2:F2"/>
  </mergeCells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75A55-546C-4E8E-A596-B6A58254EB4C}">
  <dimension ref="A1:N6"/>
  <sheetViews>
    <sheetView workbookViewId="0">
      <selection activeCell="G30" sqref="G30"/>
    </sheetView>
  </sheetViews>
  <sheetFormatPr defaultRowHeight="15" x14ac:dyDescent="0.25"/>
  <cols>
    <col min="1" max="10" width="13.28515625" customWidth="1"/>
    <col min="12" max="12" width="11.5703125" bestFit="1" customWidth="1"/>
    <col min="13" max="14" width="8.28515625" bestFit="1" customWidth="1"/>
  </cols>
  <sheetData>
    <row r="1" spans="1:14" ht="30" customHeight="1" x14ac:dyDescent="0.25">
      <c r="A1" s="44" t="s">
        <v>97</v>
      </c>
      <c r="B1" s="44"/>
      <c r="C1" s="44"/>
      <c r="D1" s="44"/>
      <c r="E1" s="44"/>
      <c r="F1" s="44"/>
      <c r="G1" s="44"/>
      <c r="H1" s="44"/>
      <c r="I1" s="44"/>
      <c r="J1" s="44"/>
      <c r="L1" t="s">
        <v>99</v>
      </c>
      <c r="M1" t="s">
        <v>96</v>
      </c>
      <c r="N1" t="s">
        <v>91</v>
      </c>
    </row>
    <row r="2" spans="1:14" x14ac:dyDescent="0.25">
      <c r="A2" s="45" t="s">
        <v>98</v>
      </c>
      <c r="B2" s="45"/>
      <c r="C2" s="45"/>
      <c r="D2" s="45"/>
      <c r="E2" s="45"/>
      <c r="F2" s="45"/>
      <c r="G2" s="45"/>
      <c r="H2" s="45"/>
      <c r="I2" s="45"/>
      <c r="J2" s="45"/>
      <c r="L2" t="s">
        <v>100</v>
      </c>
      <c r="M2" s="42">
        <v>25000</v>
      </c>
      <c r="N2" s="42">
        <v>67314</v>
      </c>
    </row>
    <row r="3" spans="1:14" x14ac:dyDescent="0.25">
      <c r="L3" t="s">
        <v>101</v>
      </c>
      <c r="M3" s="42">
        <v>27000</v>
      </c>
      <c r="N3" s="42">
        <v>69000</v>
      </c>
    </row>
    <row r="4" spans="1:14" x14ac:dyDescent="0.25">
      <c r="L4" t="s">
        <v>102</v>
      </c>
      <c r="M4" s="42">
        <v>30000</v>
      </c>
      <c r="N4" s="42">
        <v>72000</v>
      </c>
    </row>
    <row r="5" spans="1:14" x14ac:dyDescent="0.25">
      <c r="L5" t="s">
        <v>103</v>
      </c>
      <c r="M5" s="42">
        <v>30000</v>
      </c>
      <c r="N5" s="42">
        <v>68450</v>
      </c>
    </row>
    <row r="6" spans="1:14" x14ac:dyDescent="0.25">
      <c r="L6" t="s">
        <v>104</v>
      </c>
      <c r="M6" s="42">
        <v>36000</v>
      </c>
      <c r="N6" s="42">
        <v>70001</v>
      </c>
    </row>
  </sheetData>
  <mergeCells count="2">
    <mergeCell ref="A1:J1"/>
    <mergeCell ref="A2:J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9E3D1-D0DF-4206-BFFC-EB7E9BBAC222}">
  <dimension ref="A1:M12"/>
  <sheetViews>
    <sheetView tabSelected="1" workbookViewId="0">
      <selection activeCell="O26" activeCellId="1" sqref="L29 O26"/>
    </sheetView>
  </sheetViews>
  <sheetFormatPr defaultRowHeight="15" x14ac:dyDescent="0.25"/>
  <cols>
    <col min="1" max="10" width="13.28515625" customWidth="1"/>
    <col min="12" max="12" width="8.7109375" bestFit="1" customWidth="1"/>
    <col min="13" max="13" width="11.5703125" bestFit="1" customWidth="1"/>
  </cols>
  <sheetData>
    <row r="1" spans="1:13" ht="30" customHeight="1" x14ac:dyDescent="0.25">
      <c r="A1" s="44" t="s">
        <v>105</v>
      </c>
      <c r="B1" s="44"/>
      <c r="C1" s="44"/>
      <c r="D1" s="44"/>
      <c r="E1" s="44"/>
      <c r="F1" s="44"/>
      <c r="G1" s="44"/>
      <c r="H1" s="44"/>
      <c r="I1" s="44"/>
      <c r="J1" s="44"/>
      <c r="L1" t="s">
        <v>107</v>
      </c>
      <c r="M1" t="s">
        <v>104</v>
      </c>
    </row>
    <row r="2" spans="1:13" x14ac:dyDescent="0.25">
      <c r="A2" s="45" t="s">
        <v>106</v>
      </c>
      <c r="B2" s="45"/>
      <c r="C2" s="45"/>
      <c r="D2" s="45"/>
      <c r="E2" s="45"/>
      <c r="F2" s="45"/>
      <c r="G2" s="45"/>
      <c r="H2" s="45"/>
      <c r="I2" s="45"/>
      <c r="J2" s="45"/>
      <c r="L2" t="s">
        <v>86</v>
      </c>
      <c r="M2" s="42">
        <v>65000</v>
      </c>
    </row>
    <row r="3" spans="1:13" x14ac:dyDescent="0.25">
      <c r="L3" t="s">
        <v>87</v>
      </c>
      <c r="M3" s="42">
        <v>36000</v>
      </c>
    </row>
    <row r="4" spans="1:13" x14ac:dyDescent="0.25">
      <c r="L4" t="s">
        <v>88</v>
      </c>
      <c r="M4" s="42">
        <v>13800</v>
      </c>
    </row>
    <row r="5" spans="1:13" x14ac:dyDescent="0.25">
      <c r="L5" t="s">
        <v>89</v>
      </c>
      <c r="M5" s="42">
        <v>12300</v>
      </c>
    </row>
    <row r="6" spans="1:13" x14ac:dyDescent="0.25">
      <c r="L6" t="s">
        <v>90</v>
      </c>
      <c r="M6" s="42">
        <v>188300</v>
      </c>
    </row>
    <row r="7" spans="1:13" x14ac:dyDescent="0.25">
      <c r="L7" t="s">
        <v>91</v>
      </c>
      <c r="M7" s="42">
        <v>70001</v>
      </c>
    </row>
    <row r="8" spans="1:13" x14ac:dyDescent="0.25">
      <c r="L8" t="s">
        <v>92</v>
      </c>
      <c r="M8" s="42">
        <v>21250</v>
      </c>
    </row>
    <row r="9" spans="1:13" x14ac:dyDescent="0.25">
      <c r="L9" t="s">
        <v>93</v>
      </c>
      <c r="M9" s="42">
        <v>70000</v>
      </c>
    </row>
    <row r="10" spans="1:13" x14ac:dyDescent="0.25">
      <c r="L10" t="s">
        <v>94</v>
      </c>
      <c r="M10" s="42">
        <v>22200</v>
      </c>
    </row>
    <row r="11" spans="1:13" x14ac:dyDescent="0.25">
      <c r="L11" t="s">
        <v>95</v>
      </c>
      <c r="M11" s="42">
        <v>56000</v>
      </c>
    </row>
    <row r="12" spans="1:13" x14ac:dyDescent="0.25">
      <c r="L12" t="s">
        <v>96</v>
      </c>
      <c r="M12" s="42">
        <v>36000</v>
      </c>
    </row>
  </sheetData>
  <mergeCells count="2">
    <mergeCell ref="A1:J1"/>
    <mergeCell ref="A2:J2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AF87E3B-0CB4-4357-8A10-3FD2E3ED0A4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8</vt:i4>
      </vt:variant>
    </vt:vector>
  </HeadingPairs>
  <TitlesOfParts>
    <vt:vector size="8" baseType="lpstr">
      <vt:lpstr>Spis treści</vt:lpstr>
      <vt:lpstr>Arkusz1</vt:lpstr>
      <vt:lpstr>Arkusz2</vt:lpstr>
      <vt:lpstr>Arkusz3</vt:lpstr>
      <vt:lpstr>Arkusz4</vt:lpstr>
      <vt:lpstr>Notowania</vt:lpstr>
      <vt:lpstr>Wedel i Żywiec</vt:lpstr>
      <vt:lpstr>Udział 30 listopada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Piotrek</dc:creator>
  <cp:lastModifiedBy>Mariusz Staręga</cp:lastModifiedBy>
  <dcterms:created xsi:type="dcterms:W3CDTF">2021-10-13T08:33:47Z</dcterms:created>
  <dcterms:modified xsi:type="dcterms:W3CDTF">2026-09-02T09:00:43Z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12db8c17-e7cd-4a74-808e-a399d2a4c489</vt:lpwstr>
  </property>
</Properties>
</file>