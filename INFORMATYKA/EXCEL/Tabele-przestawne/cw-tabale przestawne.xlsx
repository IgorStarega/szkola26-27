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szkola26-27\INFORMATYKA\EXCEL\Tabele-przestawne\"/>
    </mc:Choice>
  </mc:AlternateContent>
  <xr:revisionPtr revIDLastSave="0" documentId="13_ncr:1_{70D1ABCA-AF3E-421E-9FE7-C2F141297513}" xr6:coauthVersionLast="47" xr6:coauthVersionMax="47" xr10:uidLastSave="{00000000-0000-0000-0000-000000000000}"/>
  <bookViews>
    <workbookView xWindow="-120" yWindow="-120" windowWidth="29040" windowHeight="17520" xr2:uid="{620241D7-6381-483D-AEC0-1C993B3E95EE}"/>
  </bookViews>
  <sheets>
    <sheet name="Arkusz1" sheetId="1" r:id="rId1"/>
    <sheet name="Zadanie 1" sheetId="2" r:id="rId2"/>
    <sheet name="Zadanie 2" sheetId="3" r:id="rId3"/>
    <sheet name="Zadanie 3" sheetId="4" r:id="rId4"/>
  </sheets>
  <definedNames>
    <definedName name="Fragmentator_Miesiąc">#N/A</definedName>
    <definedName name="Fragmentator_Miesiąc1">#N/A</definedName>
    <definedName name="Fragmentator_Produkt">#N/A</definedName>
    <definedName name="Fragmentator_Sprzedawca">#N/A</definedName>
    <definedName name="Fragmentator_Województwo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0" i="1" l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2" i="1"/>
  <c r="J2" i="1"/>
  <c r="I2" i="1"/>
</calcChain>
</file>

<file path=xl/sharedStrings.xml><?xml version="1.0" encoding="utf-8"?>
<sst xmlns="http://schemas.openxmlformats.org/spreadsheetml/2006/main" count="639" uniqueCount="30">
  <si>
    <t>Lp.</t>
  </si>
  <si>
    <t>Data</t>
  </si>
  <si>
    <t>Sprzedawca</t>
  </si>
  <si>
    <t>Województwo</t>
  </si>
  <si>
    <t>Produkt</t>
  </si>
  <si>
    <t>Ilość</t>
  </si>
  <si>
    <t>Cena</t>
  </si>
  <si>
    <t>Wartość</t>
  </si>
  <si>
    <t>Cabacki</t>
  </si>
  <si>
    <t>łódzkie</t>
  </si>
  <si>
    <t>Monitor</t>
  </si>
  <si>
    <t>Abacki</t>
  </si>
  <si>
    <t>zachodniopomorskie</t>
  </si>
  <si>
    <t>Klawiatura</t>
  </si>
  <si>
    <t>Dabacki</t>
  </si>
  <si>
    <t>małopolskie</t>
  </si>
  <si>
    <t>Komputer</t>
  </si>
  <si>
    <t>Babacki</t>
  </si>
  <si>
    <t>pomorskie</t>
  </si>
  <si>
    <t>Drukarka</t>
  </si>
  <si>
    <t>wielkpolskie</t>
  </si>
  <si>
    <t>Miesiąc</t>
  </si>
  <si>
    <t>Kwartał</t>
  </si>
  <si>
    <t>Prowizja 3%</t>
  </si>
  <si>
    <t>Suma końcowa</t>
  </si>
  <si>
    <t>Suma ilości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</si>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</sst>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dd\.mm\.yyyy"/>
    <numFmt numFmtId="165" formatCode="mmmm"/>
    <numFmt numFmtId="166" formatCode="#,##0.00\ [$zł-415]"/>
  </numFmts>
  <fonts count="3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i/>
      <sz val="11"/>
      <color rgb="FF666666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applyAlignment="1"/>
  </cellXfs>
  <cellStyles count="3">
    <cellStyle name="Normalny" xfId="0" builtinId="0"/>
    <cellStyle name="Normalny 2" xfId="1" xr:uid="{3180E65F-5121-4168-8789-96A885693388}"/>
    <cellStyle name="Walutowy 2" xfId="2" xr:uid="{60BF35F2-BF99-471A-BC5B-BD6FD17E3CFA}"/>
  </cellStyles>
  <dxfs count="5">
    <dxf>
      <numFmt numFmtId="166" formatCode="#,##0.00\ [$zł-415]"/>
    </dxf>
    <dxf>
      <numFmt numFmtId="165" formatCode="mmmm"/>
    </dxf>
    <dxf>
      <numFmt numFmtId="166" formatCode="#,##0.00\ [$zł-415]"/>
    </dxf>
    <dxf>
      <numFmt numFmtId="166" formatCode="#,##0.00\ [$zł-415]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[cw-tabale przestawne.xlsx]Zadanie 2!ptProwizjaMiesieczna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Miesięczna prowizja handlowców (3%)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5A5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'Zadanie 2'!$B$4:$B$5</c:f>
              <c:strCache>
                <c:ptCount val="1"/>
                <c:pt idx="0">
                  <c:v>Abacki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'Zadanie 2'!$A$6:$A$18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'Zadanie 2'!$B$6:$B$18</c:f>
              <c:numCache>
                <c:formatCode>#\ ##0.00\ [$zł-415]</c:formatCode>
                <c:ptCount val="12"/>
                <c:pt idx="0">
                  <c:v>21</c:v>
                </c:pt>
                <c:pt idx="1">
                  <c:v>510</c:v>
                </c:pt>
                <c:pt idx="2">
                  <c:v>301.5</c:v>
                </c:pt>
                <c:pt idx="3">
                  <c:v>197.25</c:v>
                </c:pt>
                <c:pt idx="4">
                  <c:v>39.75</c:v>
                </c:pt>
                <c:pt idx="5">
                  <c:v>940.5</c:v>
                </c:pt>
                <c:pt idx="6">
                  <c:v>1607.25</c:v>
                </c:pt>
                <c:pt idx="7">
                  <c:v>327</c:v>
                </c:pt>
                <c:pt idx="8">
                  <c:v>315</c:v>
                </c:pt>
                <c:pt idx="9">
                  <c:v>192.75</c:v>
                </c:pt>
                <c:pt idx="10">
                  <c:v>300</c:v>
                </c:pt>
                <c:pt idx="1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B-4B1F-8B8E-05FF2D0F67D1}"/>
            </c:ext>
          </c:extLst>
        </c:ser>
        <c:ser>
          <c:idx val="1"/>
          <c:order val="1"/>
          <c:tx>
            <c:strRef>
              <c:f>'Zadanie 2'!$C$4:$C$5</c:f>
              <c:strCache>
                <c:ptCount val="1"/>
                <c:pt idx="0">
                  <c:v>Babacki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'Zadanie 2'!$A$6:$A$18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'Zadanie 2'!$C$6:$C$18</c:f>
              <c:numCache>
                <c:formatCode>#\ ##0.00\ [$zł-415]</c:formatCode>
                <c:ptCount val="12"/>
                <c:pt idx="0">
                  <c:v>1302</c:v>
                </c:pt>
                <c:pt idx="1">
                  <c:v>327</c:v>
                </c:pt>
                <c:pt idx="2">
                  <c:v>450</c:v>
                </c:pt>
                <c:pt idx="3">
                  <c:v>780</c:v>
                </c:pt>
                <c:pt idx="4">
                  <c:v>675</c:v>
                </c:pt>
                <c:pt idx="5">
                  <c:v>1215</c:v>
                </c:pt>
                <c:pt idx="6">
                  <c:v>285</c:v>
                </c:pt>
                <c:pt idx="7">
                  <c:v>1113</c:v>
                </c:pt>
                <c:pt idx="8">
                  <c:v>873</c:v>
                </c:pt>
                <c:pt idx="9">
                  <c:v>210</c:v>
                </c:pt>
                <c:pt idx="10">
                  <c:v>1104</c:v>
                </c:pt>
                <c:pt idx="11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9B-4B1F-8B8E-05FF2D0F67D1}"/>
            </c:ext>
          </c:extLst>
        </c:ser>
        <c:ser>
          <c:idx val="2"/>
          <c:order val="2"/>
          <c:tx>
            <c:strRef>
              <c:f>'Zadanie 2'!$D$4:$D$5</c:f>
              <c:strCache>
                <c:ptCount val="1"/>
                <c:pt idx="0">
                  <c:v>Cabacki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'Zadanie 2'!$A$6:$A$18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'Zadanie 2'!$D$6:$D$18</c:f>
              <c:numCache>
                <c:formatCode>#\ ##0.00\ [$zł-415]</c:formatCode>
                <c:ptCount val="12"/>
                <c:pt idx="0">
                  <c:v>567</c:v>
                </c:pt>
                <c:pt idx="1">
                  <c:v>147</c:v>
                </c:pt>
                <c:pt idx="2">
                  <c:v>987</c:v>
                </c:pt>
                <c:pt idx="3">
                  <c:v>483</c:v>
                </c:pt>
                <c:pt idx="4">
                  <c:v>1092</c:v>
                </c:pt>
                <c:pt idx="5">
                  <c:v>210</c:v>
                </c:pt>
                <c:pt idx="6">
                  <c:v>1239</c:v>
                </c:pt>
                <c:pt idx="7">
                  <c:v>525</c:v>
                </c:pt>
                <c:pt idx="8">
                  <c:v>399</c:v>
                </c:pt>
                <c:pt idx="9">
                  <c:v>1470</c:v>
                </c:pt>
                <c:pt idx="10">
                  <c:v>357</c:v>
                </c:pt>
                <c:pt idx="11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9B-4B1F-8B8E-05FF2D0F67D1}"/>
            </c:ext>
          </c:extLst>
        </c:ser>
        <c:ser>
          <c:idx val="3"/>
          <c:order val="3"/>
          <c:tx>
            <c:strRef>
              <c:f>'Zadanie 2'!$E$4:$E$5</c:f>
              <c:strCache>
                <c:ptCount val="1"/>
                <c:pt idx="0">
                  <c:v>Dabacki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'Zadanie 2'!$A$6:$A$18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'Zadanie 2'!$E$6:$E$18</c:f>
              <c:numCache>
                <c:formatCode>#\ ##0.00\ [$zł-415]</c:formatCode>
                <c:ptCount val="12"/>
                <c:pt idx="0">
                  <c:v>3825</c:v>
                </c:pt>
                <c:pt idx="1">
                  <c:v>975</c:v>
                </c:pt>
                <c:pt idx="3">
                  <c:v>1800</c:v>
                </c:pt>
                <c:pt idx="4">
                  <c:v>3600</c:v>
                </c:pt>
                <c:pt idx="5">
                  <c:v>2850</c:v>
                </c:pt>
                <c:pt idx="6">
                  <c:v>4725</c:v>
                </c:pt>
                <c:pt idx="7">
                  <c:v>1050</c:v>
                </c:pt>
                <c:pt idx="8">
                  <c:v>4050</c:v>
                </c:pt>
                <c:pt idx="9">
                  <c:v>3225</c:v>
                </c:pt>
                <c:pt idx="10">
                  <c:v>4200</c:v>
                </c:pt>
                <c:pt idx="11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9B-4B1F-8B8E-05FF2D0F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95760"/>
        <c:axId val="1624283824"/>
      </c:barChart>
      <c:catAx>
        <c:axId val="164309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4283824"/>
        <c:crosses val="autoZero"/>
        <c:auto val="1"/>
        <c:lblAlgn val="ctr"/>
        <c:lblOffset val="100"/>
        <c:noMultiLvlLbl val="0"/>
      </c:catAx>
      <c:valAx>
        <c:axId val="16242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Prowizja (zł)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\ ##0.00\ [$zł-41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30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[cw-tabale przestawne.xlsx]Zadanie 3!ptSprzedazKwartalna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Kwartalna sprzedaż ilościowa produktów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5A5A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'Zadanie 3'!$B$4:$B$5</c:f>
              <c:strCache>
                <c:ptCount val="1"/>
                <c:pt idx="0">
                  <c:v>Drukarka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 3'!$A$6:$A$10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'Zadanie 3'!$B$6:$B$10</c:f>
              <c:numCache>
                <c:formatCode>General</c:formatCode>
                <c:ptCount val="4"/>
                <c:pt idx="0">
                  <c:v>139</c:v>
                </c:pt>
                <c:pt idx="1">
                  <c:v>204</c:v>
                </c:pt>
                <c:pt idx="2">
                  <c:v>186</c:v>
                </c:pt>
                <c:pt idx="3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A95-A74A-455219FAEDDC}"/>
            </c:ext>
          </c:extLst>
        </c:ser>
        <c:ser>
          <c:idx val="1"/>
          <c:order val="1"/>
          <c:tx>
            <c:strRef>
              <c:f>'Zadanie 3'!$C$4:$C$5</c:f>
              <c:strCache>
                <c:ptCount val="1"/>
                <c:pt idx="0">
                  <c:v>Klawiatura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 3'!$A$6:$A$10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'Zadanie 3'!$C$6:$C$10</c:f>
              <c:numCache>
                <c:formatCode>General</c:formatCode>
                <c:ptCount val="4"/>
                <c:pt idx="0">
                  <c:v>66</c:v>
                </c:pt>
                <c:pt idx="1">
                  <c:v>126</c:v>
                </c:pt>
                <c:pt idx="2">
                  <c:v>95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2-4A95-A74A-455219FAEDDC}"/>
            </c:ext>
          </c:extLst>
        </c:ser>
        <c:ser>
          <c:idx val="2"/>
          <c:order val="2"/>
          <c:tx>
            <c:strRef>
              <c:f>'Zadanie 3'!$D$4:$D$5</c:f>
              <c:strCache>
                <c:ptCount val="1"/>
                <c:pt idx="0">
                  <c:v>Komputer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 3'!$A$6:$A$10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'Zadanie 3'!$D$6:$D$10</c:f>
              <c:numCache>
                <c:formatCode>General</c:formatCode>
                <c:ptCount val="4"/>
                <c:pt idx="0">
                  <c:v>64</c:v>
                </c:pt>
                <c:pt idx="1">
                  <c:v>110</c:v>
                </c:pt>
                <c:pt idx="2">
                  <c:v>131</c:v>
                </c:pt>
                <c:pt idx="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2-4A95-A74A-455219FAEDDC}"/>
            </c:ext>
          </c:extLst>
        </c:ser>
        <c:ser>
          <c:idx val="3"/>
          <c:order val="3"/>
          <c:tx>
            <c:strRef>
              <c:f>'Zadanie 3'!$E$4:$E$5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 3'!$A$6:$A$10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'Zadanie 3'!$E$6:$E$10</c:f>
              <c:numCache>
                <c:formatCode>General</c:formatCode>
                <c:ptCount val="4"/>
                <c:pt idx="0">
                  <c:v>118</c:v>
                </c:pt>
                <c:pt idx="1">
                  <c:v>118</c:v>
                </c:pt>
                <c:pt idx="2">
                  <c:v>182</c:v>
                </c:pt>
                <c:pt idx="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2-4A95-A74A-455219FAE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144160"/>
        <c:axId val="1624321744"/>
      </c:barChart>
      <c:catAx>
        <c:axId val="168814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Kwartał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4321744"/>
        <c:crosses val="autoZero"/>
        <c:auto val="1"/>
        <c:lblAlgn val="ctr"/>
        <c:lblOffset val="100"/>
        <c:noMultiLvlLbl val="0"/>
      </c:catAx>
      <c:valAx>
        <c:axId val="16243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(szt.)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814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368300</xdr:colOff>
      <xdr:row>8</xdr:row>
      <xdr:rowOff>53975</xdr:rowOff>
    </xdr:from>
    <xdr:to>
      <xdr:col>13</xdr:col>
      <xdr:colOff>114300</xdr:colOff>
      <xdr:row>20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Wojewodztwo">
              <a:extLst>
                <a:ext uri="{FF2B5EF4-FFF2-40B4-BE49-F238E27FC236}">
                  <a16:creationId xmlns:a16="http://schemas.microsoft.com/office/drawing/2014/main" id="{E88956B3-A17F-8D7E-536D-134758394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Wojewodztw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7575" y="1797050"/>
              <a:ext cx="2794000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187325</xdr:colOff>
      <xdr:row>0</xdr:row>
      <xdr:rowOff>127000</xdr:rowOff>
    </xdr:from>
    <xdr:to>
      <xdr:col>18</xdr:col>
      <xdr:colOff>441325</xdr:colOff>
      <xdr:row>7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lMiesiacZ1">
              <a:extLst>
                <a:ext uri="{FF2B5EF4-FFF2-40B4-BE49-F238E27FC236}">
                  <a16:creationId xmlns:a16="http://schemas.microsoft.com/office/drawing/2014/main" id="{2DE7E06E-1665-D460-FE66-A4C3BD8923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lMiesiacZ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6600" y="127000"/>
              <a:ext cx="6350000" cy="146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431800</xdr:colOff>
      <xdr:row>2</xdr:row>
      <xdr:rowOff>155575</xdr:rowOff>
    </xdr:from>
    <xdr:to>
      <xdr:col>16</xdr:col>
      <xdr:colOff>533400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Sprzedawca">
              <a:extLst>
                <a:ext uri="{FF2B5EF4-FFF2-40B4-BE49-F238E27FC236}">
                  <a16:creationId xmlns:a16="http://schemas.microsoft.com/office/drawing/2014/main" id="{D9926ABB-246E-7BE2-E781-794758DA20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Sprzedaw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2000" y="755650"/>
              <a:ext cx="2540000" cy="196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4" name="chProwizjaMiesieczna">
          <a:extLst>
            <a:ext uri="{FF2B5EF4-FFF2-40B4-BE49-F238E27FC236}">
              <a16:creationId xmlns:a16="http://schemas.microsoft.com/office/drawing/2014/main" id="{79CF1F35-117D-363E-3C51-3EF95C30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488950</xdr:colOff>
      <xdr:row>2</xdr:row>
      <xdr:rowOff>107950</xdr:rowOff>
    </xdr:from>
    <xdr:to>
      <xdr:col>15</xdr:col>
      <xdr:colOff>590550</xdr:colOff>
      <xdr:row>12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Produkt">
              <a:extLst>
                <a:ext uri="{FF2B5EF4-FFF2-40B4-BE49-F238E27FC236}">
                  <a16:creationId xmlns:a16="http://schemas.microsoft.com/office/drawing/2014/main" id="{DE081FB9-70EC-CD6C-A40C-69B77F4CF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Produk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1650" y="708025"/>
              <a:ext cx="2540000" cy="196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298450</xdr:colOff>
      <xdr:row>14</xdr:row>
      <xdr:rowOff>0</xdr:rowOff>
    </xdr:from>
    <xdr:to>
      <xdr:col>21</xdr:col>
      <xdr:colOff>552450</xdr:colOff>
      <xdr:row>21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lMiesiacZ3">
              <a:extLst>
                <a:ext uri="{FF2B5EF4-FFF2-40B4-BE49-F238E27FC236}">
                  <a16:creationId xmlns:a16="http://schemas.microsoft.com/office/drawing/2014/main" id="{DAB1AB5C-B1A0-3667-0D26-ED64F7BAB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lMiesiacZ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1150" y="2886075"/>
              <a:ext cx="6350000" cy="146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4" name="chSprzedazKwartalna">
          <a:extLst>
            <a:ext uri="{FF2B5EF4-FFF2-40B4-BE49-F238E27FC236}">
              <a16:creationId xmlns:a16="http://schemas.microsoft.com/office/drawing/2014/main" id="{BEF1425A-A86B-E999-ABDB-CB45D0B44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Staręga" refreshedDate="46295.448083680552" createdVersion="8" refreshedVersion="8" minRefreshableVersion="3" recordCount="199" xr:uid="{6C157F03-5C11-457D-8757-E0D9ED0270D1}">
  <cacheSource type="worksheet">
    <worksheetSource name="tblSprzedaz"/>
  </cacheSource>
  <cacheFields count="11">
    <cacheField name="Lp." numFmtId="0">
      <sharedItems containsSemiMixedTypes="0" containsString="0" containsNumber="1" containsInteger="1" minValue="1" maxValue="199"/>
    </cacheField>
    <cacheField name="Data" numFmtId="164">
      <sharedItems containsSemiMixedTypes="0" containsNonDate="0" containsDate="1" containsString="0" minDate="2008-01-05T00:00:00" maxDate="2008-12-30T00:00:00"/>
    </cacheField>
    <cacheField name="Sprzedawca" numFmtId="0">
      <sharedItems count="4">
        <s v="Cabacki"/>
        <s v="Abacki"/>
        <s v="Dabacki"/>
        <s v="Babacki"/>
      </sharedItems>
    </cacheField>
    <cacheField name="Województwo" numFmtId="0">
      <sharedItems count="5">
        <s v="łódzkie"/>
        <s v="zachodniopomorskie"/>
        <s v="małopolskie"/>
        <s v="pomorskie"/>
        <s v="wielkpolskie"/>
      </sharedItems>
    </cacheField>
    <cacheField name="Produkt" numFmtId="0">
      <sharedItems count="4">
        <s v="Monitor"/>
        <s v="Klawiatura"/>
        <s v="Komputer"/>
        <s v="Drukarka"/>
      </sharedItems>
    </cacheField>
    <cacheField name="Ilość" numFmtId="0">
      <sharedItems containsSemiMixedTypes="0" containsString="0" containsNumber="1" containsInteger="1" minValue="1" maxValue="20"/>
    </cacheField>
    <cacheField name="Cena" numFmtId="166">
      <sharedItems containsSemiMixedTypes="0" containsString="0" containsNumber="1" containsInteger="1" minValue="25" maxValue="2500"/>
    </cacheField>
    <cacheField name="Wartość" numFmtId="166">
      <sharedItems containsSemiMixedTypes="0" containsString="0" containsNumber="1" containsInteger="1" minValue="25" maxValue="50000"/>
    </cacheField>
    <cacheField name="Miesiąc" numFmtId="165">
      <sharedItems containsSemiMixedTypes="0" containsNonDate="0" containsDate="1" containsString="0" minDate="2008-01-01T00:00:00" maxDate="2008-12-02T00:00:00" count="12"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</sharedItems>
    </cacheField>
    <cacheField name="Kwartał" numFmtId="0">
      <sharedItems count="4">
        <s v="Q1"/>
        <s v="Q2"/>
        <s v="Q3"/>
        <s v="Q4"/>
      </sharedItems>
    </cacheField>
    <cacheField name="Prowizja 3%" numFmtId="166">
      <sharedItems containsSemiMixedTypes="0" containsString="0" containsNumber="1" minValue="0.75" maxValue="1500"/>
    </cacheField>
  </cacheFields>
  <extLst>
    <ext xmlns:x14="http://schemas.microsoft.com/office/spreadsheetml/2009/9/main" uri="{725AE2AE-9491-48be-B2B4-4EB974FC3084}">
      <x14:pivotCacheDefinition pivotCacheId="1522361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"/>
    <d v="2008-01-05T00:00:00"/>
    <x v="0"/>
    <x v="0"/>
    <x v="0"/>
    <n v="3"/>
    <n v="700"/>
    <n v="2100"/>
    <x v="0"/>
    <x v="0"/>
    <n v="63"/>
  </r>
  <r>
    <n v="2"/>
    <d v="2008-01-06T00:00:00"/>
    <x v="1"/>
    <x v="1"/>
    <x v="1"/>
    <n v="9"/>
    <n v="25"/>
    <n v="225"/>
    <x v="0"/>
    <x v="0"/>
    <n v="6.75"/>
  </r>
  <r>
    <n v="3"/>
    <d v="2008-01-06T00:00:00"/>
    <x v="1"/>
    <x v="0"/>
    <x v="1"/>
    <n v="12"/>
    <n v="25"/>
    <n v="300"/>
    <x v="0"/>
    <x v="0"/>
    <n v="9"/>
  </r>
  <r>
    <n v="4"/>
    <d v="2008-01-08T00:00:00"/>
    <x v="2"/>
    <x v="2"/>
    <x v="2"/>
    <n v="15"/>
    <n v="2500"/>
    <n v="37500"/>
    <x v="0"/>
    <x v="0"/>
    <n v="1125"/>
  </r>
  <r>
    <n v="5"/>
    <d v="2008-01-09T00:00:00"/>
    <x v="3"/>
    <x v="3"/>
    <x v="3"/>
    <n v="7"/>
    <n v="500"/>
    <n v="3500"/>
    <x v="0"/>
    <x v="0"/>
    <n v="105"/>
  </r>
  <r>
    <n v="6"/>
    <d v="2008-01-09T00:00:00"/>
    <x v="0"/>
    <x v="3"/>
    <x v="0"/>
    <n v="9"/>
    <n v="700"/>
    <n v="6300"/>
    <x v="0"/>
    <x v="0"/>
    <n v="189"/>
  </r>
  <r>
    <n v="7"/>
    <d v="2008-01-11T00:00:00"/>
    <x v="3"/>
    <x v="0"/>
    <x v="3"/>
    <n v="20"/>
    <n v="500"/>
    <n v="10000"/>
    <x v="0"/>
    <x v="0"/>
    <n v="300"/>
  </r>
  <r>
    <n v="8"/>
    <d v="2008-01-12T00:00:00"/>
    <x v="1"/>
    <x v="2"/>
    <x v="1"/>
    <n v="7"/>
    <n v="25"/>
    <n v="175"/>
    <x v="0"/>
    <x v="0"/>
    <n v="5.25"/>
  </r>
  <r>
    <n v="9"/>
    <d v="2008-01-18T00:00:00"/>
    <x v="0"/>
    <x v="2"/>
    <x v="0"/>
    <n v="15"/>
    <n v="700"/>
    <n v="10500"/>
    <x v="0"/>
    <x v="0"/>
    <n v="315"/>
  </r>
  <r>
    <n v="10"/>
    <d v="2008-01-19T00:00:00"/>
    <x v="2"/>
    <x v="4"/>
    <x v="2"/>
    <n v="18"/>
    <n v="2500"/>
    <n v="45000"/>
    <x v="0"/>
    <x v="0"/>
    <n v="1350"/>
  </r>
  <r>
    <n v="11"/>
    <d v="2008-01-23T00:00:00"/>
    <x v="3"/>
    <x v="0"/>
    <x v="3"/>
    <n v="16"/>
    <n v="500"/>
    <n v="8000"/>
    <x v="0"/>
    <x v="0"/>
    <n v="240"/>
  </r>
  <r>
    <n v="12"/>
    <d v="2008-01-26T00:00:00"/>
    <x v="3"/>
    <x v="4"/>
    <x v="3"/>
    <n v="20"/>
    <n v="500"/>
    <n v="10000"/>
    <x v="0"/>
    <x v="0"/>
    <n v="300"/>
  </r>
  <r>
    <n v="13"/>
    <d v="2008-01-26T00:00:00"/>
    <x v="2"/>
    <x v="0"/>
    <x v="2"/>
    <n v="6"/>
    <n v="2500"/>
    <n v="15000"/>
    <x v="0"/>
    <x v="0"/>
    <n v="450"/>
  </r>
  <r>
    <n v="14"/>
    <d v="2008-01-27T00:00:00"/>
    <x v="3"/>
    <x v="0"/>
    <x v="0"/>
    <n v="7"/>
    <n v="700"/>
    <n v="4900"/>
    <x v="0"/>
    <x v="0"/>
    <n v="147"/>
  </r>
  <r>
    <n v="15"/>
    <d v="2008-01-30T00:00:00"/>
    <x v="2"/>
    <x v="3"/>
    <x v="2"/>
    <n v="12"/>
    <n v="2500"/>
    <n v="30000"/>
    <x v="0"/>
    <x v="0"/>
    <n v="900"/>
  </r>
  <r>
    <n v="16"/>
    <d v="2008-01-30T00:00:00"/>
    <x v="3"/>
    <x v="1"/>
    <x v="3"/>
    <n v="14"/>
    <n v="500"/>
    <n v="7000"/>
    <x v="0"/>
    <x v="0"/>
    <n v="210"/>
  </r>
  <r>
    <n v="17"/>
    <d v="2008-02-02T00:00:00"/>
    <x v="0"/>
    <x v="0"/>
    <x v="0"/>
    <n v="3"/>
    <n v="700"/>
    <n v="2100"/>
    <x v="1"/>
    <x v="0"/>
    <n v="63"/>
  </r>
  <r>
    <n v="18"/>
    <d v="2008-02-02T00:00:00"/>
    <x v="1"/>
    <x v="3"/>
    <x v="0"/>
    <n v="15"/>
    <n v="700"/>
    <n v="10500"/>
    <x v="1"/>
    <x v="0"/>
    <n v="315"/>
  </r>
  <r>
    <n v="19"/>
    <d v="2008-02-11T00:00:00"/>
    <x v="3"/>
    <x v="3"/>
    <x v="3"/>
    <n v="9"/>
    <n v="500"/>
    <n v="4500"/>
    <x v="1"/>
    <x v="0"/>
    <n v="135"/>
  </r>
  <r>
    <n v="20"/>
    <d v="2008-02-12T00:00:00"/>
    <x v="0"/>
    <x v="4"/>
    <x v="0"/>
    <n v="1"/>
    <n v="700"/>
    <n v="700"/>
    <x v="1"/>
    <x v="0"/>
    <n v="21"/>
  </r>
  <r>
    <n v="21"/>
    <d v="2008-02-13T00:00:00"/>
    <x v="3"/>
    <x v="3"/>
    <x v="3"/>
    <n v="10"/>
    <n v="500"/>
    <n v="5000"/>
    <x v="1"/>
    <x v="0"/>
    <n v="150"/>
  </r>
  <r>
    <n v="22"/>
    <d v="2008-02-17T00:00:00"/>
    <x v="1"/>
    <x v="0"/>
    <x v="3"/>
    <n v="13"/>
    <n v="500"/>
    <n v="6500"/>
    <x v="1"/>
    <x v="0"/>
    <n v="195"/>
  </r>
  <r>
    <n v="23"/>
    <d v="2008-02-22T00:00:00"/>
    <x v="3"/>
    <x v="0"/>
    <x v="0"/>
    <n v="2"/>
    <n v="700"/>
    <n v="1400"/>
    <x v="1"/>
    <x v="0"/>
    <n v="42"/>
  </r>
  <r>
    <n v="24"/>
    <d v="2008-02-23T00:00:00"/>
    <x v="0"/>
    <x v="3"/>
    <x v="0"/>
    <n v="3"/>
    <n v="700"/>
    <n v="2100"/>
    <x v="1"/>
    <x v="0"/>
    <n v="63"/>
  </r>
  <r>
    <n v="25"/>
    <d v="2008-02-28T00:00:00"/>
    <x v="2"/>
    <x v="3"/>
    <x v="2"/>
    <n v="13"/>
    <n v="2500"/>
    <n v="32500"/>
    <x v="1"/>
    <x v="0"/>
    <n v="975"/>
  </r>
  <r>
    <n v="26"/>
    <d v="2008-03-01T00:00:00"/>
    <x v="3"/>
    <x v="2"/>
    <x v="3"/>
    <n v="5"/>
    <n v="500"/>
    <n v="2500"/>
    <x v="2"/>
    <x v="0"/>
    <n v="75"/>
  </r>
  <r>
    <n v="27"/>
    <d v="2008-03-04T00:00:00"/>
    <x v="0"/>
    <x v="0"/>
    <x v="0"/>
    <n v="20"/>
    <n v="700"/>
    <n v="14000"/>
    <x v="2"/>
    <x v="0"/>
    <n v="420"/>
  </r>
  <r>
    <n v="28"/>
    <d v="2008-03-05T00:00:00"/>
    <x v="3"/>
    <x v="0"/>
    <x v="3"/>
    <n v="8"/>
    <n v="500"/>
    <n v="4000"/>
    <x v="2"/>
    <x v="0"/>
    <n v="120"/>
  </r>
  <r>
    <n v="29"/>
    <d v="2008-03-13T00:00:00"/>
    <x v="1"/>
    <x v="0"/>
    <x v="1"/>
    <n v="14"/>
    <n v="25"/>
    <n v="350"/>
    <x v="2"/>
    <x v="0"/>
    <n v="10.5"/>
  </r>
  <r>
    <n v="30"/>
    <d v="2008-03-16T00:00:00"/>
    <x v="1"/>
    <x v="2"/>
    <x v="1"/>
    <n v="10"/>
    <n v="25"/>
    <n v="250"/>
    <x v="2"/>
    <x v="0"/>
    <n v="7.5"/>
  </r>
  <r>
    <n v="31"/>
    <d v="2008-03-19T00:00:00"/>
    <x v="0"/>
    <x v="4"/>
    <x v="0"/>
    <n v="14"/>
    <n v="700"/>
    <n v="9800"/>
    <x v="2"/>
    <x v="0"/>
    <n v="294"/>
  </r>
  <r>
    <n v="32"/>
    <d v="2008-03-21T00:00:00"/>
    <x v="1"/>
    <x v="0"/>
    <x v="0"/>
    <n v="8"/>
    <n v="700"/>
    <n v="5600"/>
    <x v="2"/>
    <x v="0"/>
    <n v="168"/>
  </r>
  <r>
    <n v="33"/>
    <d v="2008-03-24T00:00:00"/>
    <x v="1"/>
    <x v="3"/>
    <x v="0"/>
    <n v="5"/>
    <n v="700"/>
    <n v="3500"/>
    <x v="2"/>
    <x v="0"/>
    <n v="105"/>
  </r>
  <r>
    <n v="34"/>
    <d v="2008-03-27T00:00:00"/>
    <x v="1"/>
    <x v="4"/>
    <x v="1"/>
    <n v="6"/>
    <n v="25"/>
    <n v="150"/>
    <x v="2"/>
    <x v="0"/>
    <n v="4.5"/>
  </r>
  <r>
    <n v="35"/>
    <d v="2008-03-29T00:00:00"/>
    <x v="1"/>
    <x v="3"/>
    <x v="1"/>
    <n v="8"/>
    <n v="25"/>
    <n v="200"/>
    <x v="2"/>
    <x v="0"/>
    <n v="6"/>
  </r>
  <r>
    <n v="36"/>
    <d v="2008-03-30T00:00:00"/>
    <x v="3"/>
    <x v="1"/>
    <x v="3"/>
    <n v="17"/>
    <n v="500"/>
    <n v="8500"/>
    <x v="2"/>
    <x v="0"/>
    <n v="255"/>
  </r>
  <r>
    <n v="37"/>
    <d v="2008-03-31T00:00:00"/>
    <x v="0"/>
    <x v="3"/>
    <x v="0"/>
    <n v="13"/>
    <n v="700"/>
    <n v="9100"/>
    <x v="2"/>
    <x v="0"/>
    <n v="273"/>
  </r>
  <r>
    <n v="38"/>
    <d v="2008-04-01T00:00:00"/>
    <x v="3"/>
    <x v="2"/>
    <x v="3"/>
    <n v="18"/>
    <n v="500"/>
    <n v="9000"/>
    <x v="3"/>
    <x v="1"/>
    <n v="270"/>
  </r>
  <r>
    <n v="39"/>
    <d v="2008-04-02T00:00:00"/>
    <x v="0"/>
    <x v="0"/>
    <x v="0"/>
    <n v="11"/>
    <n v="700"/>
    <n v="7700"/>
    <x v="3"/>
    <x v="1"/>
    <n v="231"/>
  </r>
  <r>
    <n v="40"/>
    <d v="2008-04-02T00:00:00"/>
    <x v="1"/>
    <x v="3"/>
    <x v="1"/>
    <n v="17"/>
    <n v="25"/>
    <n v="425"/>
    <x v="3"/>
    <x v="1"/>
    <n v="12.75"/>
  </r>
  <r>
    <n v="41"/>
    <d v="2008-04-07T00:00:00"/>
    <x v="3"/>
    <x v="1"/>
    <x v="3"/>
    <n v="10"/>
    <n v="500"/>
    <n v="5000"/>
    <x v="3"/>
    <x v="1"/>
    <n v="150"/>
  </r>
  <r>
    <n v="42"/>
    <d v="2008-04-07T00:00:00"/>
    <x v="3"/>
    <x v="2"/>
    <x v="3"/>
    <n v="1"/>
    <n v="500"/>
    <n v="500"/>
    <x v="3"/>
    <x v="1"/>
    <n v="15"/>
  </r>
  <r>
    <n v="43"/>
    <d v="2008-04-12T00:00:00"/>
    <x v="0"/>
    <x v="4"/>
    <x v="0"/>
    <n v="10"/>
    <n v="700"/>
    <n v="7000"/>
    <x v="3"/>
    <x v="1"/>
    <n v="210"/>
  </r>
  <r>
    <n v="44"/>
    <d v="2008-04-13T00:00:00"/>
    <x v="2"/>
    <x v="0"/>
    <x v="2"/>
    <n v="18"/>
    <n v="2500"/>
    <n v="45000"/>
    <x v="3"/>
    <x v="1"/>
    <n v="1350"/>
  </r>
  <r>
    <n v="45"/>
    <d v="2008-04-13T00:00:00"/>
    <x v="2"/>
    <x v="3"/>
    <x v="2"/>
    <n v="6"/>
    <n v="2500"/>
    <n v="15000"/>
    <x v="3"/>
    <x v="1"/>
    <n v="450"/>
  </r>
  <r>
    <n v="46"/>
    <d v="2008-04-16T00:00:00"/>
    <x v="3"/>
    <x v="3"/>
    <x v="3"/>
    <n v="17"/>
    <n v="500"/>
    <n v="8500"/>
    <x v="3"/>
    <x v="1"/>
    <n v="255"/>
  </r>
  <r>
    <n v="47"/>
    <d v="2008-04-18T00:00:00"/>
    <x v="1"/>
    <x v="3"/>
    <x v="3"/>
    <n v="11"/>
    <n v="500"/>
    <n v="5500"/>
    <x v="3"/>
    <x v="1"/>
    <n v="165"/>
  </r>
  <r>
    <n v="48"/>
    <d v="2008-04-18T00:00:00"/>
    <x v="1"/>
    <x v="0"/>
    <x v="1"/>
    <n v="6"/>
    <n v="25"/>
    <n v="150"/>
    <x v="3"/>
    <x v="1"/>
    <n v="4.5"/>
  </r>
  <r>
    <n v="49"/>
    <d v="2008-04-19T00:00:00"/>
    <x v="3"/>
    <x v="4"/>
    <x v="3"/>
    <n v="6"/>
    <n v="500"/>
    <n v="3000"/>
    <x v="3"/>
    <x v="1"/>
    <n v="90"/>
  </r>
  <r>
    <n v="50"/>
    <d v="2008-04-20T00:00:00"/>
    <x v="1"/>
    <x v="0"/>
    <x v="3"/>
    <n v="1"/>
    <n v="500"/>
    <n v="500"/>
    <x v="3"/>
    <x v="1"/>
    <n v="15"/>
  </r>
  <r>
    <n v="51"/>
    <d v="2008-04-20T00:00:00"/>
    <x v="0"/>
    <x v="0"/>
    <x v="0"/>
    <n v="2"/>
    <n v="700"/>
    <n v="1400"/>
    <x v="3"/>
    <x v="1"/>
    <n v="42"/>
  </r>
  <r>
    <n v="52"/>
    <d v="2008-05-02T00:00:00"/>
    <x v="2"/>
    <x v="4"/>
    <x v="2"/>
    <n v="18"/>
    <n v="2500"/>
    <n v="45000"/>
    <x v="4"/>
    <x v="1"/>
    <n v="1350"/>
  </r>
  <r>
    <n v="53"/>
    <d v="2008-05-04T00:00:00"/>
    <x v="3"/>
    <x v="3"/>
    <x v="3"/>
    <n v="19"/>
    <n v="500"/>
    <n v="9500"/>
    <x v="4"/>
    <x v="1"/>
    <n v="285"/>
  </r>
  <r>
    <n v="54"/>
    <d v="2008-05-05T00:00:00"/>
    <x v="3"/>
    <x v="0"/>
    <x v="3"/>
    <n v="1"/>
    <n v="500"/>
    <n v="500"/>
    <x v="4"/>
    <x v="1"/>
    <n v="15"/>
  </r>
  <r>
    <n v="55"/>
    <d v="2008-05-07T00:00:00"/>
    <x v="1"/>
    <x v="0"/>
    <x v="1"/>
    <n v="17"/>
    <n v="25"/>
    <n v="425"/>
    <x v="4"/>
    <x v="1"/>
    <n v="12.75"/>
  </r>
  <r>
    <n v="56"/>
    <d v="2008-05-10T00:00:00"/>
    <x v="2"/>
    <x v="1"/>
    <x v="2"/>
    <n v="7"/>
    <n v="2500"/>
    <n v="17500"/>
    <x v="4"/>
    <x v="1"/>
    <n v="525"/>
  </r>
  <r>
    <n v="57"/>
    <d v="2008-05-12T00:00:00"/>
    <x v="0"/>
    <x v="1"/>
    <x v="0"/>
    <n v="17"/>
    <n v="700"/>
    <n v="11900"/>
    <x v="4"/>
    <x v="1"/>
    <n v="357"/>
  </r>
  <r>
    <n v="58"/>
    <d v="2008-05-13T00:00:00"/>
    <x v="2"/>
    <x v="2"/>
    <x v="2"/>
    <n v="1"/>
    <n v="2500"/>
    <n v="2500"/>
    <x v="4"/>
    <x v="1"/>
    <n v="75"/>
  </r>
  <r>
    <n v="59"/>
    <d v="2008-05-13T00:00:00"/>
    <x v="0"/>
    <x v="0"/>
    <x v="0"/>
    <n v="11"/>
    <n v="700"/>
    <n v="7700"/>
    <x v="4"/>
    <x v="1"/>
    <n v="231"/>
  </r>
  <r>
    <n v="60"/>
    <d v="2008-05-15T00:00:00"/>
    <x v="3"/>
    <x v="0"/>
    <x v="3"/>
    <n v="1"/>
    <n v="500"/>
    <n v="500"/>
    <x v="4"/>
    <x v="1"/>
    <n v="15"/>
  </r>
  <r>
    <n v="61"/>
    <d v="2008-05-16T00:00:00"/>
    <x v="3"/>
    <x v="0"/>
    <x v="3"/>
    <n v="10"/>
    <n v="500"/>
    <n v="5000"/>
    <x v="4"/>
    <x v="1"/>
    <n v="150"/>
  </r>
  <r>
    <n v="62"/>
    <d v="2008-05-18T00:00:00"/>
    <x v="0"/>
    <x v="2"/>
    <x v="0"/>
    <n v="8"/>
    <n v="700"/>
    <n v="5600"/>
    <x v="4"/>
    <x v="1"/>
    <n v="168"/>
  </r>
  <r>
    <n v="63"/>
    <d v="2008-05-20T00:00:00"/>
    <x v="0"/>
    <x v="1"/>
    <x v="0"/>
    <n v="11"/>
    <n v="700"/>
    <n v="7700"/>
    <x v="4"/>
    <x v="1"/>
    <n v="231"/>
  </r>
  <r>
    <n v="64"/>
    <d v="2008-05-20T00:00:00"/>
    <x v="2"/>
    <x v="4"/>
    <x v="2"/>
    <n v="20"/>
    <n v="2500"/>
    <n v="50000"/>
    <x v="4"/>
    <x v="1"/>
    <n v="1500"/>
  </r>
  <r>
    <n v="65"/>
    <d v="2008-05-23T00:00:00"/>
    <x v="3"/>
    <x v="0"/>
    <x v="3"/>
    <n v="12"/>
    <n v="500"/>
    <n v="6000"/>
    <x v="4"/>
    <x v="1"/>
    <n v="180"/>
  </r>
  <r>
    <n v="66"/>
    <d v="2008-05-25T00:00:00"/>
    <x v="1"/>
    <x v="3"/>
    <x v="1"/>
    <n v="17"/>
    <n v="25"/>
    <n v="425"/>
    <x v="4"/>
    <x v="1"/>
    <n v="12.75"/>
  </r>
  <r>
    <n v="67"/>
    <d v="2008-05-25T00:00:00"/>
    <x v="1"/>
    <x v="2"/>
    <x v="1"/>
    <n v="17"/>
    <n v="25"/>
    <n v="425"/>
    <x v="4"/>
    <x v="1"/>
    <n v="12.75"/>
  </r>
  <r>
    <n v="68"/>
    <d v="2008-05-27T00:00:00"/>
    <x v="1"/>
    <x v="3"/>
    <x v="1"/>
    <n v="2"/>
    <n v="25"/>
    <n v="50"/>
    <x v="4"/>
    <x v="1"/>
    <n v="1.5"/>
  </r>
  <r>
    <n v="69"/>
    <d v="2008-05-29T00:00:00"/>
    <x v="2"/>
    <x v="0"/>
    <x v="2"/>
    <n v="2"/>
    <n v="2500"/>
    <n v="5000"/>
    <x v="4"/>
    <x v="1"/>
    <n v="150"/>
  </r>
  <r>
    <n v="70"/>
    <d v="2008-05-30T00:00:00"/>
    <x v="0"/>
    <x v="3"/>
    <x v="0"/>
    <n v="5"/>
    <n v="700"/>
    <n v="3500"/>
    <x v="4"/>
    <x v="1"/>
    <n v="105"/>
  </r>
  <r>
    <n v="71"/>
    <d v="2008-05-30T00:00:00"/>
    <x v="3"/>
    <x v="1"/>
    <x v="3"/>
    <n v="2"/>
    <n v="500"/>
    <n v="1000"/>
    <x v="4"/>
    <x v="1"/>
    <n v="30"/>
  </r>
  <r>
    <n v="72"/>
    <d v="2008-06-01T00:00:00"/>
    <x v="3"/>
    <x v="0"/>
    <x v="3"/>
    <n v="15"/>
    <n v="500"/>
    <n v="7500"/>
    <x v="5"/>
    <x v="1"/>
    <n v="225"/>
  </r>
  <r>
    <n v="73"/>
    <d v="2008-06-01T00:00:00"/>
    <x v="3"/>
    <x v="1"/>
    <x v="3"/>
    <n v="15"/>
    <n v="500"/>
    <n v="7500"/>
    <x v="5"/>
    <x v="1"/>
    <n v="225"/>
  </r>
  <r>
    <n v="74"/>
    <d v="2008-06-02T00:00:00"/>
    <x v="2"/>
    <x v="2"/>
    <x v="2"/>
    <n v="16"/>
    <n v="2500"/>
    <n v="40000"/>
    <x v="5"/>
    <x v="1"/>
    <n v="1200"/>
  </r>
  <r>
    <n v="75"/>
    <d v="2008-06-04T00:00:00"/>
    <x v="1"/>
    <x v="3"/>
    <x v="1"/>
    <n v="17"/>
    <n v="25"/>
    <n v="425"/>
    <x v="5"/>
    <x v="1"/>
    <n v="12.75"/>
  </r>
  <r>
    <n v="76"/>
    <d v="2008-06-05T00:00:00"/>
    <x v="1"/>
    <x v="1"/>
    <x v="1"/>
    <n v="4"/>
    <n v="25"/>
    <n v="100"/>
    <x v="5"/>
    <x v="1"/>
    <n v="3"/>
  </r>
  <r>
    <n v="77"/>
    <d v="2008-06-09T00:00:00"/>
    <x v="2"/>
    <x v="0"/>
    <x v="2"/>
    <n v="7"/>
    <n v="2500"/>
    <n v="17500"/>
    <x v="5"/>
    <x v="1"/>
    <n v="525"/>
  </r>
  <r>
    <n v="78"/>
    <d v="2008-06-10T00:00:00"/>
    <x v="1"/>
    <x v="3"/>
    <x v="3"/>
    <n v="14"/>
    <n v="500"/>
    <n v="7000"/>
    <x v="5"/>
    <x v="1"/>
    <n v="210"/>
  </r>
  <r>
    <n v="79"/>
    <d v="2008-06-11T00:00:00"/>
    <x v="1"/>
    <x v="2"/>
    <x v="1"/>
    <n v="18"/>
    <n v="25"/>
    <n v="450"/>
    <x v="5"/>
    <x v="1"/>
    <n v="13.5"/>
  </r>
  <r>
    <n v="80"/>
    <d v="2008-06-13T00:00:00"/>
    <x v="1"/>
    <x v="0"/>
    <x v="1"/>
    <n v="2"/>
    <n v="25"/>
    <n v="50"/>
    <x v="5"/>
    <x v="1"/>
    <n v="1.5"/>
  </r>
  <r>
    <n v="81"/>
    <d v="2008-06-14T00:00:00"/>
    <x v="2"/>
    <x v="2"/>
    <x v="2"/>
    <n v="2"/>
    <n v="2500"/>
    <n v="5000"/>
    <x v="5"/>
    <x v="1"/>
    <n v="150"/>
  </r>
  <r>
    <n v="82"/>
    <d v="2008-06-15T00:00:00"/>
    <x v="2"/>
    <x v="3"/>
    <x v="2"/>
    <n v="8"/>
    <n v="2500"/>
    <n v="20000"/>
    <x v="5"/>
    <x v="1"/>
    <n v="600"/>
  </r>
  <r>
    <n v="83"/>
    <d v="2008-06-15T00:00:00"/>
    <x v="2"/>
    <x v="3"/>
    <x v="2"/>
    <n v="5"/>
    <n v="2500"/>
    <n v="12500"/>
    <x v="5"/>
    <x v="1"/>
    <n v="375"/>
  </r>
  <r>
    <n v="84"/>
    <d v="2008-06-16T00:00:00"/>
    <x v="1"/>
    <x v="0"/>
    <x v="0"/>
    <n v="19"/>
    <n v="700"/>
    <n v="13300"/>
    <x v="5"/>
    <x v="1"/>
    <n v="399"/>
  </r>
  <r>
    <n v="85"/>
    <d v="2008-06-16T00:00:00"/>
    <x v="1"/>
    <x v="3"/>
    <x v="0"/>
    <n v="14"/>
    <n v="700"/>
    <n v="9800"/>
    <x v="5"/>
    <x v="1"/>
    <n v="294"/>
  </r>
  <r>
    <n v="86"/>
    <d v="2008-06-16T00:00:00"/>
    <x v="3"/>
    <x v="2"/>
    <x v="3"/>
    <n v="10"/>
    <n v="500"/>
    <n v="5000"/>
    <x v="5"/>
    <x v="1"/>
    <n v="150"/>
  </r>
  <r>
    <n v="87"/>
    <d v="2008-06-20T00:00:00"/>
    <x v="3"/>
    <x v="0"/>
    <x v="3"/>
    <n v="18"/>
    <n v="500"/>
    <n v="9000"/>
    <x v="5"/>
    <x v="1"/>
    <n v="270"/>
  </r>
  <r>
    <n v="88"/>
    <d v="2008-06-21T00:00:00"/>
    <x v="3"/>
    <x v="0"/>
    <x v="3"/>
    <n v="18"/>
    <n v="500"/>
    <n v="9000"/>
    <x v="5"/>
    <x v="1"/>
    <n v="270"/>
  </r>
  <r>
    <n v="89"/>
    <d v="2008-06-25T00:00:00"/>
    <x v="1"/>
    <x v="0"/>
    <x v="1"/>
    <n v="9"/>
    <n v="25"/>
    <n v="225"/>
    <x v="5"/>
    <x v="1"/>
    <n v="6.75"/>
  </r>
  <r>
    <n v="90"/>
    <d v="2008-06-25T00:00:00"/>
    <x v="0"/>
    <x v="3"/>
    <x v="0"/>
    <n v="10"/>
    <n v="700"/>
    <n v="7000"/>
    <x v="5"/>
    <x v="1"/>
    <n v="210"/>
  </r>
  <r>
    <n v="91"/>
    <d v="2008-06-27T00:00:00"/>
    <x v="3"/>
    <x v="0"/>
    <x v="3"/>
    <n v="5"/>
    <n v="500"/>
    <n v="2500"/>
    <x v="5"/>
    <x v="1"/>
    <n v="75"/>
  </r>
  <r>
    <n v="92"/>
    <d v="2008-07-01T00:00:00"/>
    <x v="2"/>
    <x v="3"/>
    <x v="2"/>
    <n v="18"/>
    <n v="2500"/>
    <n v="45000"/>
    <x v="6"/>
    <x v="2"/>
    <n v="1350"/>
  </r>
  <r>
    <n v="93"/>
    <d v="2008-07-01T00:00:00"/>
    <x v="0"/>
    <x v="0"/>
    <x v="0"/>
    <n v="11"/>
    <n v="700"/>
    <n v="7700"/>
    <x v="6"/>
    <x v="2"/>
    <n v="231"/>
  </r>
  <r>
    <n v="94"/>
    <d v="2008-07-03T00:00:00"/>
    <x v="0"/>
    <x v="1"/>
    <x v="0"/>
    <n v="14"/>
    <n v="700"/>
    <n v="9800"/>
    <x v="6"/>
    <x v="2"/>
    <n v="294"/>
  </r>
  <r>
    <n v="95"/>
    <d v="2008-07-04T00:00:00"/>
    <x v="1"/>
    <x v="4"/>
    <x v="1"/>
    <n v="6"/>
    <n v="25"/>
    <n v="150"/>
    <x v="6"/>
    <x v="2"/>
    <n v="4.5"/>
  </r>
  <r>
    <n v="96"/>
    <d v="2008-07-07T00:00:00"/>
    <x v="2"/>
    <x v="3"/>
    <x v="2"/>
    <n v="11"/>
    <n v="2500"/>
    <n v="27500"/>
    <x v="6"/>
    <x v="2"/>
    <n v="825"/>
  </r>
  <r>
    <n v="97"/>
    <d v="2008-07-07T00:00:00"/>
    <x v="1"/>
    <x v="1"/>
    <x v="1"/>
    <n v="3"/>
    <n v="25"/>
    <n v="75"/>
    <x v="6"/>
    <x v="2"/>
    <n v="2.25"/>
  </r>
  <r>
    <n v="98"/>
    <d v="2008-07-08T00:00:00"/>
    <x v="1"/>
    <x v="0"/>
    <x v="1"/>
    <n v="13"/>
    <n v="25"/>
    <n v="325"/>
    <x v="6"/>
    <x v="2"/>
    <n v="9.75"/>
  </r>
  <r>
    <n v="99"/>
    <d v="2008-07-09T00:00:00"/>
    <x v="1"/>
    <x v="0"/>
    <x v="1"/>
    <n v="15"/>
    <n v="25"/>
    <n v="375"/>
    <x v="6"/>
    <x v="2"/>
    <n v="11.25"/>
  </r>
  <r>
    <n v="100"/>
    <d v="2008-07-09T00:00:00"/>
    <x v="2"/>
    <x v="1"/>
    <x v="2"/>
    <n v="14"/>
    <n v="2500"/>
    <n v="35000"/>
    <x v="6"/>
    <x v="2"/>
    <n v="1050"/>
  </r>
  <r>
    <n v="101"/>
    <d v="2008-07-11T00:00:00"/>
    <x v="1"/>
    <x v="0"/>
    <x v="0"/>
    <n v="6"/>
    <n v="700"/>
    <n v="4200"/>
    <x v="6"/>
    <x v="2"/>
    <n v="126"/>
  </r>
  <r>
    <n v="102"/>
    <d v="2008-07-11T00:00:00"/>
    <x v="0"/>
    <x v="0"/>
    <x v="0"/>
    <n v="3"/>
    <n v="700"/>
    <n v="2100"/>
    <x v="6"/>
    <x v="2"/>
    <n v="63"/>
  </r>
  <r>
    <n v="103"/>
    <d v="2008-07-14T00:00:00"/>
    <x v="1"/>
    <x v="3"/>
    <x v="0"/>
    <n v="19"/>
    <n v="700"/>
    <n v="13300"/>
    <x v="6"/>
    <x v="2"/>
    <n v="399"/>
  </r>
  <r>
    <n v="104"/>
    <d v="2008-07-14T00:00:00"/>
    <x v="0"/>
    <x v="4"/>
    <x v="0"/>
    <n v="18"/>
    <n v="700"/>
    <n v="12600"/>
    <x v="6"/>
    <x v="2"/>
    <n v="378"/>
  </r>
  <r>
    <n v="105"/>
    <d v="2008-07-18T00:00:00"/>
    <x v="3"/>
    <x v="3"/>
    <x v="3"/>
    <n v="19"/>
    <n v="500"/>
    <n v="9500"/>
    <x v="6"/>
    <x v="2"/>
    <n v="285"/>
  </r>
  <r>
    <n v="106"/>
    <d v="2008-07-18T00:00:00"/>
    <x v="2"/>
    <x v="3"/>
    <x v="2"/>
    <n v="4"/>
    <n v="2500"/>
    <n v="10000"/>
    <x v="6"/>
    <x v="2"/>
    <n v="300"/>
  </r>
  <r>
    <n v="107"/>
    <d v="2008-07-20T00:00:00"/>
    <x v="0"/>
    <x v="1"/>
    <x v="0"/>
    <n v="13"/>
    <n v="700"/>
    <n v="9100"/>
    <x v="6"/>
    <x v="2"/>
    <n v="273"/>
  </r>
  <r>
    <n v="108"/>
    <d v="2008-07-20T00:00:00"/>
    <x v="2"/>
    <x v="0"/>
    <x v="2"/>
    <n v="16"/>
    <n v="2500"/>
    <n v="40000"/>
    <x v="6"/>
    <x v="2"/>
    <n v="1200"/>
  </r>
  <r>
    <n v="109"/>
    <d v="2008-07-23T00:00:00"/>
    <x v="1"/>
    <x v="3"/>
    <x v="0"/>
    <n v="16"/>
    <n v="700"/>
    <n v="11200"/>
    <x v="6"/>
    <x v="2"/>
    <n v="336"/>
  </r>
  <r>
    <n v="110"/>
    <d v="2008-07-27T00:00:00"/>
    <x v="1"/>
    <x v="0"/>
    <x v="1"/>
    <n v="2"/>
    <n v="25"/>
    <n v="50"/>
    <x v="6"/>
    <x v="2"/>
    <n v="1.5"/>
  </r>
  <r>
    <n v="111"/>
    <d v="2008-07-28T00:00:00"/>
    <x v="1"/>
    <x v="0"/>
    <x v="0"/>
    <n v="17"/>
    <n v="700"/>
    <n v="11900"/>
    <x v="6"/>
    <x v="2"/>
    <n v="357"/>
  </r>
  <r>
    <n v="112"/>
    <d v="2008-07-29T00:00:00"/>
    <x v="1"/>
    <x v="0"/>
    <x v="3"/>
    <n v="4"/>
    <n v="500"/>
    <n v="2000"/>
    <x v="6"/>
    <x v="2"/>
    <n v="60"/>
  </r>
  <r>
    <n v="113"/>
    <d v="2008-07-31T00:00:00"/>
    <x v="1"/>
    <x v="0"/>
    <x v="3"/>
    <n v="20"/>
    <n v="500"/>
    <n v="10000"/>
    <x v="6"/>
    <x v="2"/>
    <n v="300"/>
  </r>
  <r>
    <n v="114"/>
    <d v="2008-08-01T00:00:00"/>
    <x v="1"/>
    <x v="0"/>
    <x v="3"/>
    <n v="20"/>
    <n v="500"/>
    <n v="10000"/>
    <x v="7"/>
    <x v="2"/>
    <n v="300"/>
  </r>
  <r>
    <n v="115"/>
    <d v="2008-08-05T00:00:00"/>
    <x v="1"/>
    <x v="3"/>
    <x v="1"/>
    <n v="13"/>
    <n v="25"/>
    <n v="325"/>
    <x v="7"/>
    <x v="2"/>
    <n v="9.75"/>
  </r>
  <r>
    <n v="116"/>
    <d v="2008-08-05T00:00:00"/>
    <x v="3"/>
    <x v="4"/>
    <x v="3"/>
    <n v="2"/>
    <n v="500"/>
    <n v="1000"/>
    <x v="7"/>
    <x v="2"/>
    <n v="30"/>
  </r>
  <r>
    <n v="117"/>
    <d v="2008-08-06T00:00:00"/>
    <x v="2"/>
    <x v="1"/>
    <x v="2"/>
    <n v="14"/>
    <n v="2500"/>
    <n v="35000"/>
    <x v="7"/>
    <x v="2"/>
    <n v="1050"/>
  </r>
  <r>
    <n v="118"/>
    <d v="2008-08-07T00:00:00"/>
    <x v="1"/>
    <x v="0"/>
    <x v="1"/>
    <n v="11"/>
    <n v="25"/>
    <n v="275"/>
    <x v="7"/>
    <x v="2"/>
    <n v="8.25"/>
  </r>
  <r>
    <n v="119"/>
    <d v="2008-08-12T00:00:00"/>
    <x v="3"/>
    <x v="0"/>
    <x v="0"/>
    <n v="13"/>
    <n v="700"/>
    <n v="9100"/>
    <x v="7"/>
    <x v="2"/>
    <n v="273"/>
  </r>
  <r>
    <n v="120"/>
    <d v="2008-08-22T00:00:00"/>
    <x v="0"/>
    <x v="0"/>
    <x v="0"/>
    <n v="18"/>
    <n v="700"/>
    <n v="12600"/>
    <x v="7"/>
    <x v="2"/>
    <n v="378"/>
  </r>
  <r>
    <n v="121"/>
    <d v="2008-08-22T00:00:00"/>
    <x v="3"/>
    <x v="3"/>
    <x v="3"/>
    <n v="10"/>
    <n v="500"/>
    <n v="5000"/>
    <x v="7"/>
    <x v="2"/>
    <n v="150"/>
  </r>
  <r>
    <n v="122"/>
    <d v="2008-08-23T00:00:00"/>
    <x v="0"/>
    <x v="3"/>
    <x v="0"/>
    <n v="7"/>
    <n v="700"/>
    <n v="4900"/>
    <x v="7"/>
    <x v="2"/>
    <n v="147"/>
  </r>
  <r>
    <n v="123"/>
    <d v="2008-08-24T00:00:00"/>
    <x v="3"/>
    <x v="4"/>
    <x v="3"/>
    <n v="14"/>
    <n v="500"/>
    <n v="7000"/>
    <x v="7"/>
    <x v="2"/>
    <n v="210"/>
  </r>
  <r>
    <n v="124"/>
    <d v="2008-08-25T00:00:00"/>
    <x v="1"/>
    <x v="2"/>
    <x v="1"/>
    <n v="12"/>
    <n v="25"/>
    <n v="300"/>
    <x v="7"/>
    <x v="2"/>
    <n v="9"/>
  </r>
  <r>
    <n v="125"/>
    <d v="2008-08-26T00:00:00"/>
    <x v="3"/>
    <x v="0"/>
    <x v="3"/>
    <n v="14"/>
    <n v="500"/>
    <n v="7000"/>
    <x v="7"/>
    <x v="2"/>
    <n v="210"/>
  </r>
  <r>
    <n v="126"/>
    <d v="2008-08-28T00:00:00"/>
    <x v="3"/>
    <x v="3"/>
    <x v="3"/>
    <n v="16"/>
    <n v="500"/>
    <n v="8000"/>
    <x v="7"/>
    <x v="2"/>
    <n v="240"/>
  </r>
  <r>
    <n v="127"/>
    <d v="2008-09-02T00:00:00"/>
    <x v="2"/>
    <x v="1"/>
    <x v="2"/>
    <n v="13"/>
    <n v="2500"/>
    <n v="32500"/>
    <x v="8"/>
    <x v="2"/>
    <n v="975"/>
  </r>
  <r>
    <n v="128"/>
    <d v="2008-09-06T00:00:00"/>
    <x v="3"/>
    <x v="0"/>
    <x v="3"/>
    <n v="12"/>
    <n v="500"/>
    <n v="6000"/>
    <x v="8"/>
    <x v="2"/>
    <n v="180"/>
  </r>
  <r>
    <n v="129"/>
    <d v="2008-09-07T00:00:00"/>
    <x v="3"/>
    <x v="0"/>
    <x v="3"/>
    <n v="3"/>
    <n v="500"/>
    <n v="1500"/>
    <x v="8"/>
    <x v="2"/>
    <n v="45"/>
  </r>
  <r>
    <n v="130"/>
    <d v="2008-09-08T00:00:00"/>
    <x v="0"/>
    <x v="2"/>
    <x v="0"/>
    <n v="9"/>
    <n v="700"/>
    <n v="6300"/>
    <x v="8"/>
    <x v="2"/>
    <n v="189"/>
  </r>
  <r>
    <n v="131"/>
    <d v="2008-09-08T00:00:00"/>
    <x v="1"/>
    <x v="1"/>
    <x v="1"/>
    <n v="20"/>
    <n v="25"/>
    <n v="500"/>
    <x v="8"/>
    <x v="2"/>
    <n v="15"/>
  </r>
  <r>
    <n v="132"/>
    <d v="2008-09-10T00:00:00"/>
    <x v="3"/>
    <x v="3"/>
    <x v="3"/>
    <n v="5"/>
    <n v="500"/>
    <n v="2500"/>
    <x v="8"/>
    <x v="2"/>
    <n v="75"/>
  </r>
  <r>
    <n v="133"/>
    <d v="2008-09-11T00:00:00"/>
    <x v="3"/>
    <x v="0"/>
    <x v="0"/>
    <n v="8"/>
    <n v="700"/>
    <n v="5600"/>
    <x v="8"/>
    <x v="2"/>
    <n v="168"/>
  </r>
  <r>
    <n v="134"/>
    <d v="2008-09-14T00:00:00"/>
    <x v="2"/>
    <x v="0"/>
    <x v="2"/>
    <n v="11"/>
    <n v="2500"/>
    <n v="27500"/>
    <x v="8"/>
    <x v="2"/>
    <n v="825"/>
  </r>
  <r>
    <n v="135"/>
    <d v="2008-09-15T00:00:00"/>
    <x v="3"/>
    <x v="0"/>
    <x v="3"/>
    <n v="10"/>
    <n v="500"/>
    <n v="5000"/>
    <x v="8"/>
    <x v="2"/>
    <n v="150"/>
  </r>
  <r>
    <n v="136"/>
    <d v="2008-09-17T00:00:00"/>
    <x v="1"/>
    <x v="3"/>
    <x v="3"/>
    <n v="14"/>
    <n v="500"/>
    <n v="7000"/>
    <x v="8"/>
    <x v="2"/>
    <n v="210"/>
  </r>
  <r>
    <n v="137"/>
    <d v="2008-09-19T00:00:00"/>
    <x v="3"/>
    <x v="3"/>
    <x v="3"/>
    <n v="16"/>
    <n v="500"/>
    <n v="8000"/>
    <x v="8"/>
    <x v="2"/>
    <n v="240"/>
  </r>
  <r>
    <n v="138"/>
    <d v="2008-09-26T00:00:00"/>
    <x v="2"/>
    <x v="0"/>
    <x v="2"/>
    <n v="12"/>
    <n v="2500"/>
    <n v="30000"/>
    <x v="8"/>
    <x v="2"/>
    <n v="900"/>
  </r>
  <r>
    <n v="139"/>
    <d v="2008-09-27T00:00:00"/>
    <x v="3"/>
    <x v="0"/>
    <x v="3"/>
    <n v="1"/>
    <n v="500"/>
    <n v="500"/>
    <x v="8"/>
    <x v="2"/>
    <n v="15"/>
  </r>
  <r>
    <n v="140"/>
    <d v="2008-09-29T00:00:00"/>
    <x v="0"/>
    <x v="1"/>
    <x v="0"/>
    <n v="10"/>
    <n v="700"/>
    <n v="7000"/>
    <x v="8"/>
    <x v="2"/>
    <n v="210"/>
  </r>
  <r>
    <n v="141"/>
    <d v="2008-09-29T00:00:00"/>
    <x v="1"/>
    <x v="3"/>
    <x v="3"/>
    <n v="6"/>
    <n v="500"/>
    <n v="3000"/>
    <x v="8"/>
    <x v="2"/>
    <n v="90"/>
  </r>
  <r>
    <n v="142"/>
    <d v="2008-09-30T00:00:00"/>
    <x v="2"/>
    <x v="3"/>
    <x v="2"/>
    <n v="18"/>
    <n v="2500"/>
    <n v="45000"/>
    <x v="8"/>
    <x v="2"/>
    <n v="1350"/>
  </r>
  <r>
    <n v="143"/>
    <d v="2008-10-02T00:00:00"/>
    <x v="1"/>
    <x v="4"/>
    <x v="1"/>
    <n v="9"/>
    <n v="25"/>
    <n v="225"/>
    <x v="9"/>
    <x v="3"/>
    <n v="6.75"/>
  </r>
  <r>
    <n v="144"/>
    <d v="2008-10-03T00:00:00"/>
    <x v="2"/>
    <x v="4"/>
    <x v="2"/>
    <n v="5"/>
    <n v="2500"/>
    <n v="12500"/>
    <x v="9"/>
    <x v="3"/>
    <n v="375"/>
  </r>
  <r>
    <n v="145"/>
    <d v="2008-10-04T00:00:00"/>
    <x v="1"/>
    <x v="0"/>
    <x v="3"/>
    <n v="8"/>
    <n v="500"/>
    <n v="4000"/>
    <x v="9"/>
    <x v="3"/>
    <n v="120"/>
  </r>
  <r>
    <n v="146"/>
    <d v="2008-10-06T00:00:00"/>
    <x v="0"/>
    <x v="1"/>
    <x v="0"/>
    <n v="11"/>
    <n v="700"/>
    <n v="7700"/>
    <x v="9"/>
    <x v="3"/>
    <n v="231"/>
  </r>
  <r>
    <n v="147"/>
    <d v="2008-10-09T00:00:00"/>
    <x v="1"/>
    <x v="3"/>
    <x v="1"/>
    <n v="18"/>
    <n v="25"/>
    <n v="450"/>
    <x v="9"/>
    <x v="3"/>
    <n v="13.5"/>
  </r>
  <r>
    <n v="148"/>
    <d v="2008-10-10T00:00:00"/>
    <x v="0"/>
    <x v="3"/>
    <x v="0"/>
    <n v="9"/>
    <n v="700"/>
    <n v="6300"/>
    <x v="9"/>
    <x v="3"/>
    <n v="189"/>
  </r>
  <r>
    <n v="149"/>
    <d v="2008-10-11T00:00:00"/>
    <x v="3"/>
    <x v="0"/>
    <x v="3"/>
    <n v="9"/>
    <n v="500"/>
    <n v="4500"/>
    <x v="9"/>
    <x v="3"/>
    <n v="135"/>
  </r>
  <r>
    <n v="150"/>
    <d v="2008-10-13T00:00:00"/>
    <x v="2"/>
    <x v="3"/>
    <x v="2"/>
    <n v="4"/>
    <n v="2500"/>
    <n v="10000"/>
    <x v="9"/>
    <x v="3"/>
    <n v="300"/>
  </r>
  <r>
    <n v="151"/>
    <d v="2008-10-13T00:00:00"/>
    <x v="0"/>
    <x v="3"/>
    <x v="0"/>
    <n v="17"/>
    <n v="700"/>
    <n v="11900"/>
    <x v="9"/>
    <x v="3"/>
    <n v="357"/>
  </r>
  <r>
    <n v="152"/>
    <d v="2008-10-14T00:00:00"/>
    <x v="3"/>
    <x v="0"/>
    <x v="3"/>
    <n v="3"/>
    <n v="500"/>
    <n v="1500"/>
    <x v="9"/>
    <x v="3"/>
    <n v="45"/>
  </r>
  <r>
    <n v="153"/>
    <d v="2008-10-16T00:00:00"/>
    <x v="0"/>
    <x v="2"/>
    <x v="0"/>
    <n v="14"/>
    <n v="700"/>
    <n v="9800"/>
    <x v="9"/>
    <x v="3"/>
    <n v="294"/>
  </r>
  <r>
    <n v="154"/>
    <d v="2008-10-18T00:00:00"/>
    <x v="2"/>
    <x v="0"/>
    <x v="2"/>
    <n v="9"/>
    <n v="2500"/>
    <n v="22500"/>
    <x v="9"/>
    <x v="3"/>
    <n v="675"/>
  </r>
  <r>
    <n v="155"/>
    <d v="2008-10-19T00:00:00"/>
    <x v="1"/>
    <x v="1"/>
    <x v="1"/>
    <n v="14"/>
    <n v="25"/>
    <n v="350"/>
    <x v="9"/>
    <x v="3"/>
    <n v="10.5"/>
  </r>
  <r>
    <n v="156"/>
    <d v="2008-10-22T00:00:00"/>
    <x v="2"/>
    <x v="3"/>
    <x v="2"/>
    <n v="10"/>
    <n v="2500"/>
    <n v="25000"/>
    <x v="9"/>
    <x v="3"/>
    <n v="750"/>
  </r>
  <r>
    <n v="157"/>
    <d v="2008-10-23T00:00:00"/>
    <x v="2"/>
    <x v="0"/>
    <x v="2"/>
    <n v="15"/>
    <n v="2500"/>
    <n v="37500"/>
    <x v="9"/>
    <x v="3"/>
    <n v="1125"/>
  </r>
  <r>
    <n v="158"/>
    <d v="2008-10-24T00:00:00"/>
    <x v="3"/>
    <x v="0"/>
    <x v="3"/>
    <n v="2"/>
    <n v="500"/>
    <n v="1000"/>
    <x v="9"/>
    <x v="3"/>
    <n v="30"/>
  </r>
  <r>
    <n v="159"/>
    <d v="2008-10-25T00:00:00"/>
    <x v="0"/>
    <x v="0"/>
    <x v="0"/>
    <n v="11"/>
    <n v="700"/>
    <n v="7700"/>
    <x v="9"/>
    <x v="3"/>
    <n v="231"/>
  </r>
  <r>
    <n v="160"/>
    <d v="2008-10-25T00:00:00"/>
    <x v="1"/>
    <x v="0"/>
    <x v="0"/>
    <n v="2"/>
    <n v="700"/>
    <n v="1400"/>
    <x v="9"/>
    <x v="3"/>
    <n v="42"/>
  </r>
  <r>
    <n v="161"/>
    <d v="2008-10-27T00:00:00"/>
    <x v="0"/>
    <x v="0"/>
    <x v="0"/>
    <n v="8"/>
    <n v="700"/>
    <n v="5600"/>
    <x v="9"/>
    <x v="3"/>
    <n v="168"/>
  </r>
  <r>
    <n v="162"/>
    <d v="2008-11-01T00:00:00"/>
    <x v="1"/>
    <x v="3"/>
    <x v="1"/>
    <n v="16"/>
    <n v="25"/>
    <n v="400"/>
    <x v="10"/>
    <x v="3"/>
    <n v="12"/>
  </r>
  <r>
    <n v="163"/>
    <d v="2008-11-03T00:00:00"/>
    <x v="3"/>
    <x v="0"/>
    <x v="0"/>
    <n v="20"/>
    <n v="700"/>
    <n v="14000"/>
    <x v="10"/>
    <x v="3"/>
    <n v="420"/>
  </r>
  <r>
    <n v="164"/>
    <d v="2008-11-04T00:00:00"/>
    <x v="0"/>
    <x v="2"/>
    <x v="0"/>
    <n v="14"/>
    <n v="700"/>
    <n v="9800"/>
    <x v="10"/>
    <x v="3"/>
    <n v="294"/>
  </r>
  <r>
    <n v="165"/>
    <d v="2008-11-06T00:00:00"/>
    <x v="2"/>
    <x v="0"/>
    <x v="2"/>
    <n v="20"/>
    <n v="2500"/>
    <n v="50000"/>
    <x v="10"/>
    <x v="3"/>
    <n v="1500"/>
  </r>
  <r>
    <n v="166"/>
    <d v="2008-11-09T00:00:00"/>
    <x v="2"/>
    <x v="1"/>
    <x v="2"/>
    <n v="3"/>
    <n v="2500"/>
    <n v="7500"/>
    <x v="10"/>
    <x v="3"/>
    <n v="225"/>
  </r>
  <r>
    <n v="167"/>
    <d v="2008-11-09T00:00:00"/>
    <x v="3"/>
    <x v="2"/>
    <x v="3"/>
    <n v="6"/>
    <n v="500"/>
    <n v="3000"/>
    <x v="10"/>
    <x v="3"/>
    <n v="90"/>
  </r>
  <r>
    <n v="168"/>
    <d v="2008-11-10T00:00:00"/>
    <x v="1"/>
    <x v="0"/>
    <x v="1"/>
    <n v="11"/>
    <n v="25"/>
    <n v="275"/>
    <x v="10"/>
    <x v="3"/>
    <n v="8.25"/>
  </r>
  <r>
    <n v="169"/>
    <d v="2008-11-10T00:00:00"/>
    <x v="3"/>
    <x v="0"/>
    <x v="3"/>
    <n v="14"/>
    <n v="500"/>
    <n v="7000"/>
    <x v="10"/>
    <x v="3"/>
    <n v="210"/>
  </r>
  <r>
    <n v="170"/>
    <d v="2008-11-15T00:00:00"/>
    <x v="1"/>
    <x v="0"/>
    <x v="1"/>
    <n v="9"/>
    <n v="25"/>
    <n v="225"/>
    <x v="10"/>
    <x v="3"/>
    <n v="6.75"/>
  </r>
  <r>
    <n v="171"/>
    <d v="2008-11-15T00:00:00"/>
    <x v="2"/>
    <x v="0"/>
    <x v="2"/>
    <n v="7"/>
    <n v="2500"/>
    <n v="17500"/>
    <x v="10"/>
    <x v="3"/>
    <n v="525"/>
  </r>
  <r>
    <n v="172"/>
    <d v="2008-11-16T00:00:00"/>
    <x v="3"/>
    <x v="0"/>
    <x v="0"/>
    <n v="9"/>
    <n v="700"/>
    <n v="6300"/>
    <x v="10"/>
    <x v="3"/>
    <n v="189"/>
  </r>
  <r>
    <n v="173"/>
    <d v="2008-11-17T00:00:00"/>
    <x v="2"/>
    <x v="0"/>
    <x v="2"/>
    <n v="4"/>
    <n v="2500"/>
    <n v="10000"/>
    <x v="10"/>
    <x v="3"/>
    <n v="300"/>
  </r>
  <r>
    <n v="174"/>
    <d v="2008-11-22T00:00:00"/>
    <x v="3"/>
    <x v="3"/>
    <x v="3"/>
    <n v="6"/>
    <n v="500"/>
    <n v="3000"/>
    <x v="10"/>
    <x v="3"/>
    <n v="90"/>
  </r>
  <r>
    <n v="175"/>
    <d v="2008-11-24T00:00:00"/>
    <x v="3"/>
    <x v="0"/>
    <x v="3"/>
    <n v="7"/>
    <n v="500"/>
    <n v="3500"/>
    <x v="10"/>
    <x v="3"/>
    <n v="105"/>
  </r>
  <r>
    <n v="176"/>
    <d v="2008-11-26T00:00:00"/>
    <x v="0"/>
    <x v="3"/>
    <x v="0"/>
    <n v="3"/>
    <n v="700"/>
    <n v="2100"/>
    <x v="10"/>
    <x v="3"/>
    <n v="63"/>
  </r>
  <r>
    <n v="177"/>
    <d v="2008-11-26T00:00:00"/>
    <x v="2"/>
    <x v="2"/>
    <x v="2"/>
    <n v="13"/>
    <n v="2500"/>
    <n v="32500"/>
    <x v="10"/>
    <x v="3"/>
    <n v="975"/>
  </r>
  <r>
    <n v="178"/>
    <d v="2008-11-27T00:00:00"/>
    <x v="1"/>
    <x v="4"/>
    <x v="1"/>
    <n v="6"/>
    <n v="25"/>
    <n v="150"/>
    <x v="10"/>
    <x v="3"/>
    <n v="4.5"/>
  </r>
  <r>
    <n v="179"/>
    <d v="2008-11-27T00:00:00"/>
    <x v="1"/>
    <x v="3"/>
    <x v="3"/>
    <n v="5"/>
    <n v="500"/>
    <n v="2500"/>
    <x v="10"/>
    <x v="3"/>
    <n v="75"/>
  </r>
  <r>
    <n v="180"/>
    <d v="2008-11-27T00:00:00"/>
    <x v="1"/>
    <x v="0"/>
    <x v="0"/>
    <n v="8"/>
    <n v="700"/>
    <n v="5600"/>
    <x v="10"/>
    <x v="3"/>
    <n v="168"/>
  </r>
  <r>
    <n v="181"/>
    <d v="2008-11-28T00:00:00"/>
    <x v="2"/>
    <x v="4"/>
    <x v="2"/>
    <n v="9"/>
    <n v="2500"/>
    <n v="22500"/>
    <x v="10"/>
    <x v="3"/>
    <n v="675"/>
  </r>
  <r>
    <n v="182"/>
    <d v="2008-11-28T00:00:00"/>
    <x v="1"/>
    <x v="3"/>
    <x v="1"/>
    <n v="18"/>
    <n v="25"/>
    <n v="450"/>
    <x v="10"/>
    <x v="3"/>
    <n v="13.5"/>
  </r>
  <r>
    <n v="183"/>
    <d v="2008-11-30T00:00:00"/>
    <x v="1"/>
    <x v="4"/>
    <x v="1"/>
    <n v="16"/>
    <n v="25"/>
    <n v="400"/>
    <x v="10"/>
    <x v="3"/>
    <n v="12"/>
  </r>
  <r>
    <n v="184"/>
    <d v="2008-12-01T00:00:00"/>
    <x v="3"/>
    <x v="1"/>
    <x v="3"/>
    <n v="18"/>
    <n v="500"/>
    <n v="9000"/>
    <x v="11"/>
    <x v="3"/>
    <n v="270"/>
  </r>
  <r>
    <n v="185"/>
    <d v="2008-12-01T00:00:00"/>
    <x v="0"/>
    <x v="0"/>
    <x v="0"/>
    <n v="18"/>
    <n v="700"/>
    <n v="12600"/>
    <x v="11"/>
    <x v="3"/>
    <n v="378"/>
  </r>
  <r>
    <n v="186"/>
    <d v="2008-12-02T00:00:00"/>
    <x v="1"/>
    <x v="3"/>
    <x v="1"/>
    <n v="2"/>
    <n v="25"/>
    <n v="50"/>
    <x v="11"/>
    <x v="3"/>
    <n v="1.5"/>
  </r>
  <r>
    <n v="187"/>
    <d v="2008-12-04T00:00:00"/>
    <x v="1"/>
    <x v="1"/>
    <x v="1"/>
    <n v="13"/>
    <n v="25"/>
    <n v="325"/>
    <x v="11"/>
    <x v="3"/>
    <n v="9.75"/>
  </r>
  <r>
    <n v="188"/>
    <d v="2008-12-05T00:00:00"/>
    <x v="3"/>
    <x v="0"/>
    <x v="3"/>
    <n v="20"/>
    <n v="500"/>
    <n v="10000"/>
    <x v="11"/>
    <x v="3"/>
    <n v="300"/>
  </r>
  <r>
    <n v="189"/>
    <d v="2008-12-05T00:00:00"/>
    <x v="2"/>
    <x v="0"/>
    <x v="2"/>
    <n v="14"/>
    <n v="2500"/>
    <n v="35000"/>
    <x v="11"/>
    <x v="3"/>
    <n v="1050"/>
  </r>
  <r>
    <n v="190"/>
    <d v="2008-12-07T00:00:00"/>
    <x v="0"/>
    <x v="3"/>
    <x v="0"/>
    <n v="3"/>
    <n v="700"/>
    <n v="2100"/>
    <x v="11"/>
    <x v="3"/>
    <n v="63"/>
  </r>
  <r>
    <n v="191"/>
    <d v="2008-12-07T00:00:00"/>
    <x v="3"/>
    <x v="0"/>
    <x v="3"/>
    <n v="1"/>
    <n v="500"/>
    <n v="500"/>
    <x v="11"/>
    <x v="3"/>
    <n v="15"/>
  </r>
  <r>
    <n v="192"/>
    <d v="2008-12-15T00:00:00"/>
    <x v="0"/>
    <x v="3"/>
    <x v="0"/>
    <n v="3"/>
    <n v="700"/>
    <n v="2100"/>
    <x v="11"/>
    <x v="3"/>
    <n v="63"/>
  </r>
  <r>
    <n v="193"/>
    <d v="2008-12-15T00:00:00"/>
    <x v="1"/>
    <x v="3"/>
    <x v="1"/>
    <n v="1"/>
    <n v="25"/>
    <n v="25"/>
    <x v="11"/>
    <x v="3"/>
    <n v="0.75"/>
  </r>
  <r>
    <n v="194"/>
    <d v="2008-12-17T00:00:00"/>
    <x v="2"/>
    <x v="3"/>
    <x v="2"/>
    <n v="12"/>
    <n v="2500"/>
    <n v="30000"/>
    <x v="11"/>
    <x v="3"/>
    <n v="900"/>
  </r>
  <r>
    <n v="195"/>
    <d v="2008-12-18T00:00:00"/>
    <x v="1"/>
    <x v="3"/>
    <x v="0"/>
    <n v="15"/>
    <n v="700"/>
    <n v="10500"/>
    <x v="11"/>
    <x v="3"/>
    <n v="315"/>
  </r>
  <r>
    <n v="196"/>
    <d v="2008-12-18T00:00:00"/>
    <x v="3"/>
    <x v="0"/>
    <x v="3"/>
    <n v="19"/>
    <n v="500"/>
    <n v="9500"/>
    <x v="11"/>
    <x v="3"/>
    <n v="285"/>
  </r>
  <r>
    <n v="197"/>
    <d v="2008-12-27T00:00:00"/>
    <x v="1"/>
    <x v="3"/>
    <x v="3"/>
    <n v="14"/>
    <n v="500"/>
    <n v="7000"/>
    <x v="11"/>
    <x v="3"/>
    <n v="210"/>
  </r>
  <r>
    <n v="198"/>
    <d v="2008-12-28T00:00:00"/>
    <x v="3"/>
    <x v="4"/>
    <x v="3"/>
    <n v="20"/>
    <n v="500"/>
    <n v="10000"/>
    <x v="11"/>
    <x v="3"/>
    <n v="300"/>
  </r>
  <r>
    <n v="199"/>
    <d v="2008-12-29T00:00:00"/>
    <x v="0"/>
    <x v="4"/>
    <x v="0"/>
    <n v="14"/>
    <n v="700"/>
    <n v="9800"/>
    <x v="11"/>
    <x v="3"/>
    <n v="2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D76FC-C5C4-41F6-B87D-907FF2B16E6F}" name="ptRozkladMiesieczny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D8" firstHeaderRow="1" firstDataRow="2" firstDataCol="2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h="1" x="0"/>
        <item h="1" x="2"/>
        <item h="1" x="3"/>
        <item x="4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5" outline="0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2"/>
  </rowFields>
  <rowItems count="3">
    <i>
      <x v="11"/>
      <x v="1"/>
    </i>
    <i r="1">
      <x v="2"/>
    </i>
    <i t="grand">
      <x/>
    </i>
  </rowItems>
  <colFields count="1">
    <field x="3"/>
  </colFields>
  <colItems count="2">
    <i>
      <x v="3"/>
    </i>
    <i t="grand">
      <x/>
    </i>
  </colItems>
  <dataFields count="1">
    <dataField name="Suma ilości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A7439-2C78-407F-B05C-38C9A7876AF7}" name="ptProwizjaMiesieczna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2">
  <location ref="A4:F18" firstHeaderRow="1" firstDataRow="2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5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Prowizja 3%" fld="10" baseField="0" baseItem="0" numFmtId="166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B5E7E-CBBD-4248-A225-0A08D8E56FBE}" name="ptSprzedazKwartalna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1">
  <location ref="A4:F10" firstHeaderRow="1" firstDataRow="2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a ilości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" xr10:uid="{DF9D8680-2415-4B5F-B609-61CE083CAF4C}" sourceName="Województwo">
  <pivotTables>
    <pivotTable tabId="2" name="ptRozkladMiesieczny"/>
  </pivotTables>
  <data>
    <tabular pivotCacheId="1522361819">
      <items count="5">
        <i x="0"/>
        <i x="3"/>
        <i x="4" s="1"/>
        <i x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esiąc" xr10:uid="{56ABB4B8-4743-40EB-B5CD-4B77E19CC879}" sourceName="Miesiąc">
  <pivotTables>
    <pivotTable tabId="2" name="ptRozkladMiesieczny"/>
  </pivotTables>
  <data>
    <tabular pivotCacheId="1522361819">
      <items count="12">
        <i x="0"/>
        <i x="1"/>
        <i x="2"/>
        <i x="3"/>
        <i x="4"/>
        <i x="6"/>
        <i x="7"/>
        <i x="9"/>
        <i x="10"/>
        <i x="11" s="1"/>
        <i x="5" nd="1"/>
        <i x="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przedawca" xr10:uid="{5494CE50-74A1-4476-9C7C-416BDA4FD20C}" sourceName="Sprzedawca">
  <pivotTables>
    <pivotTable tabId="3" name="ptProwizjaMiesieczna"/>
  </pivotTables>
  <data>
    <tabular pivotCacheId="1522361819">
      <items count="4">
        <i x="1" s="1"/>
        <i x="3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kt" xr10:uid="{60560116-9288-4F46-912A-624C1577375B}" sourceName="Produkt">
  <pivotTables>
    <pivotTable tabId="4" name="ptSprzedazKwartalna"/>
  </pivotTables>
  <data>
    <tabular pivotCacheId="1522361819">
      <items count="4">
        <i x="3" s="1"/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esiąc1" xr10:uid="{D4133C8A-50C3-49B7-875E-E43E0A7AF8F8}" sourceName="Miesiąc">
  <pivotTables>
    <pivotTable tabId="4" name="ptSprzedazKwartalna"/>
  </pivotTables>
  <data>
    <tabular pivotCacheId="1522361819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Wojewodztwo" xr10:uid="{C11A3539-DD8C-4359-BE3F-35B874A58641}" cache="Fragmentator_Województwo" caption="Województwo" style="SlicerStyleLight2" rowHeight="241300"/>
  <slicer name="tlMiesiacZ1" xr10:uid="{A86F7886-132F-4FCF-A41F-662DBD675E84}" cache="Fragmentator_Miesiąc" caption="Oś czasu — miesiąc" columnCount="6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Sprzedawca" xr10:uid="{A8F6CA1F-5780-4BB3-8619-E315C5E752DD}" cache="Fragmentator_Sprzedawca" caption="Sprzedawca" style="SlicerStyleLight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Produkt" xr10:uid="{E602149F-F17A-4998-8515-C4C62160F3CF}" cache="Fragmentator_Produkt" caption="Produkt" style="SlicerStyleLight2" rowHeight="241300"/>
  <slicer name="tlMiesiacZ3" xr10:uid="{4820E6EA-D4F9-49B1-9FCA-80912041BB71}" cache="Fragmentator_Miesiąc1" caption="Oś czasu — miesiąc" columnCount="6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CEFB5-6266-4CCF-BBE2-92D148116821}" name="tblSprzedaz" displayName="tblSprzedaz" ref="A1:K200" totalsRowShown="0">
  <autoFilter ref="A1:K200" xr:uid="{F69CEFB5-6266-4CCF-BBE2-92D148116821}"/>
  <tableColumns count="11">
    <tableColumn id="1" xr3:uid="{64535242-2BD2-455F-AFCD-C32ED17DBE4E}" name="Lp."/>
    <tableColumn id="2" xr3:uid="{1E4C62F8-9027-48BB-BDF6-10EF02E1EE22}" name="Data" dataDxfId="4"/>
    <tableColumn id="3" xr3:uid="{2B412E7D-3E73-4D4B-A40C-892C3BA759CE}" name="Sprzedawca"/>
    <tableColumn id="4" xr3:uid="{12DBE5A4-9ECB-4024-8134-A507DB20E9DE}" name="Województwo"/>
    <tableColumn id="5" xr3:uid="{4F335F7C-2648-43C8-8DC3-32E3E8B49520}" name="Produkt"/>
    <tableColumn id="6" xr3:uid="{430FAC9A-8F41-4CB5-A75C-C6C9A799AC91}" name="Ilość"/>
    <tableColumn id="7" xr3:uid="{5AFF80A2-1DA3-4513-9BD1-A61F0E22A6E2}" name="Cena" dataDxfId="3"/>
    <tableColumn id="8" xr3:uid="{72F381FA-B18E-4C92-9F3D-84D72980F7D9}" name="Wartość" dataDxfId="2"/>
    <tableColumn id="9" xr3:uid="{164AB37B-00E9-4B18-A73C-725317FA8245}" name="Miesiąc" dataDxfId="1">
      <calculatedColumnFormula>DATE(YEAR(B2),MONTH(B2),1)</calculatedColumnFormula>
    </tableColumn>
    <tableColumn id="10" xr3:uid="{85FEC711-3C75-4257-86B8-896F98783F1E}" name="Kwartał">
      <calculatedColumnFormula>"Q"&amp;ROUNDUP(MONTH(B2)/3,0)</calculatedColumnFormula>
    </tableColumn>
    <tableColumn id="11" xr3:uid="{B8E08C6B-D7B1-4EC2-B989-7694AE8DFCC9}" name="Prowizja 3%" dataDxfId="0">
      <calculatedColumnFormula>H2*3%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F0D3-6B4E-404E-8E4F-35F030A18421}">
  <dimension ref="A1:K200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15"/>
  <cols>
    <col min="1" max="1" width="5.85546875" bestFit="1" customWidth="1"/>
    <col min="2" max="2" width="14.85546875" customWidth="1"/>
    <col min="3" max="3" width="13.7109375" bestFit="1" customWidth="1"/>
    <col min="4" max="4" width="23.85546875" customWidth="1"/>
    <col min="5" max="5" width="10.42578125" bestFit="1" customWidth="1"/>
    <col min="6" max="6" width="7.28515625" bestFit="1" customWidth="1"/>
    <col min="7" max="7" width="9.85546875" bestFit="1" customWidth="1"/>
    <col min="8" max="8" width="10.85546875" bestFit="1" customWidth="1"/>
    <col min="9" max="9" width="14.28515625" customWidth="1"/>
    <col min="10" max="10" width="10" bestFit="1" customWidth="1"/>
    <col min="11" max="11" width="13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22</v>
      </c>
      <c r="K1" t="s">
        <v>23</v>
      </c>
    </row>
    <row r="2" spans="1:11">
      <c r="A2">
        <v>1</v>
      </c>
      <c r="B2" s="1">
        <v>39452</v>
      </c>
      <c r="C2" t="s">
        <v>8</v>
      </c>
      <c r="D2" t="s">
        <v>9</v>
      </c>
      <c r="E2" t="s">
        <v>10</v>
      </c>
      <c r="F2">
        <v>3</v>
      </c>
      <c r="G2" s="3">
        <v>700</v>
      </c>
      <c r="H2" s="3">
        <v>2100</v>
      </c>
      <c r="I2" s="2">
        <f>DATE(YEAR(B2),MONTH(B2),1)</f>
        <v>39448</v>
      </c>
      <c r="J2" t="str">
        <f>"Q"&amp;ROUNDUP(MONTH(B2)/3,0)</f>
        <v>Q1</v>
      </c>
      <c r="K2" s="3">
        <f>H2*3%</f>
        <v>63</v>
      </c>
    </row>
    <row r="3" spans="1:11">
      <c r="A3">
        <v>2</v>
      </c>
      <c r="B3" s="1">
        <v>39453</v>
      </c>
      <c r="C3" t="s">
        <v>11</v>
      </c>
      <c r="D3" t="s">
        <v>12</v>
      </c>
      <c r="E3" t="s">
        <v>13</v>
      </c>
      <c r="F3">
        <v>9</v>
      </c>
      <c r="G3" s="3">
        <v>25</v>
      </c>
      <c r="H3" s="3">
        <v>225</v>
      </c>
      <c r="I3" s="2">
        <f t="shared" ref="I3:I66" si="0">DATE(YEAR(B3),MONTH(B3),1)</f>
        <v>39448</v>
      </c>
      <c r="J3" t="str">
        <f t="shared" ref="J3:J66" si="1">"Q"&amp;ROUNDUP(MONTH(B3)/3,0)</f>
        <v>Q1</v>
      </c>
      <c r="K3" s="3">
        <f t="shared" ref="K3:K66" si="2">H3*3%</f>
        <v>6.75</v>
      </c>
    </row>
    <row r="4" spans="1:11">
      <c r="A4">
        <v>3</v>
      </c>
      <c r="B4" s="1">
        <v>39453</v>
      </c>
      <c r="C4" t="s">
        <v>11</v>
      </c>
      <c r="D4" t="s">
        <v>9</v>
      </c>
      <c r="E4" t="s">
        <v>13</v>
      </c>
      <c r="F4">
        <v>12</v>
      </c>
      <c r="G4" s="3">
        <v>25</v>
      </c>
      <c r="H4" s="3">
        <v>300</v>
      </c>
      <c r="I4" s="2">
        <f t="shared" si="0"/>
        <v>39448</v>
      </c>
      <c r="J4" t="str">
        <f t="shared" si="1"/>
        <v>Q1</v>
      </c>
      <c r="K4" s="3">
        <f t="shared" si="2"/>
        <v>9</v>
      </c>
    </row>
    <row r="5" spans="1:11">
      <c r="A5">
        <v>4</v>
      </c>
      <c r="B5" s="1">
        <v>39455</v>
      </c>
      <c r="C5" t="s">
        <v>14</v>
      </c>
      <c r="D5" t="s">
        <v>15</v>
      </c>
      <c r="E5" t="s">
        <v>16</v>
      </c>
      <c r="F5">
        <v>15</v>
      </c>
      <c r="G5" s="3">
        <v>2500</v>
      </c>
      <c r="H5" s="3">
        <v>37500</v>
      </c>
      <c r="I5" s="2">
        <f t="shared" si="0"/>
        <v>39448</v>
      </c>
      <c r="J5" t="str">
        <f t="shared" si="1"/>
        <v>Q1</v>
      </c>
      <c r="K5" s="3">
        <f t="shared" si="2"/>
        <v>1125</v>
      </c>
    </row>
    <row r="6" spans="1:11">
      <c r="A6">
        <v>5</v>
      </c>
      <c r="B6" s="1">
        <v>39456</v>
      </c>
      <c r="C6" t="s">
        <v>17</v>
      </c>
      <c r="D6" t="s">
        <v>18</v>
      </c>
      <c r="E6" t="s">
        <v>19</v>
      </c>
      <c r="F6">
        <v>7</v>
      </c>
      <c r="G6" s="3">
        <v>500</v>
      </c>
      <c r="H6" s="3">
        <v>3500</v>
      </c>
      <c r="I6" s="2">
        <f t="shared" si="0"/>
        <v>39448</v>
      </c>
      <c r="J6" t="str">
        <f t="shared" si="1"/>
        <v>Q1</v>
      </c>
      <c r="K6" s="3">
        <f t="shared" si="2"/>
        <v>105</v>
      </c>
    </row>
    <row r="7" spans="1:11">
      <c r="A7">
        <v>6</v>
      </c>
      <c r="B7" s="1">
        <v>39456</v>
      </c>
      <c r="C7" t="s">
        <v>8</v>
      </c>
      <c r="D7" t="s">
        <v>18</v>
      </c>
      <c r="E7" t="s">
        <v>10</v>
      </c>
      <c r="F7">
        <v>9</v>
      </c>
      <c r="G7" s="3">
        <v>700</v>
      </c>
      <c r="H7" s="3">
        <v>6300</v>
      </c>
      <c r="I7" s="2">
        <f t="shared" si="0"/>
        <v>39448</v>
      </c>
      <c r="J7" t="str">
        <f t="shared" si="1"/>
        <v>Q1</v>
      </c>
      <c r="K7" s="3">
        <f t="shared" si="2"/>
        <v>189</v>
      </c>
    </row>
    <row r="8" spans="1:11">
      <c r="A8">
        <v>7</v>
      </c>
      <c r="B8" s="1">
        <v>39458</v>
      </c>
      <c r="C8" t="s">
        <v>17</v>
      </c>
      <c r="D8" t="s">
        <v>9</v>
      </c>
      <c r="E8" t="s">
        <v>19</v>
      </c>
      <c r="F8">
        <v>20</v>
      </c>
      <c r="G8" s="3">
        <v>500</v>
      </c>
      <c r="H8" s="3">
        <v>10000</v>
      </c>
      <c r="I8" s="2">
        <f t="shared" si="0"/>
        <v>39448</v>
      </c>
      <c r="J8" t="str">
        <f t="shared" si="1"/>
        <v>Q1</v>
      </c>
      <c r="K8" s="3">
        <f t="shared" si="2"/>
        <v>300</v>
      </c>
    </row>
    <row r="9" spans="1:11">
      <c r="A9">
        <v>8</v>
      </c>
      <c r="B9" s="1">
        <v>39459</v>
      </c>
      <c r="C9" t="s">
        <v>11</v>
      </c>
      <c r="D9" t="s">
        <v>15</v>
      </c>
      <c r="E9" t="s">
        <v>13</v>
      </c>
      <c r="F9">
        <v>7</v>
      </c>
      <c r="G9" s="3">
        <v>25</v>
      </c>
      <c r="H9" s="3">
        <v>175</v>
      </c>
      <c r="I9" s="2">
        <f t="shared" si="0"/>
        <v>39448</v>
      </c>
      <c r="J9" t="str">
        <f t="shared" si="1"/>
        <v>Q1</v>
      </c>
      <c r="K9" s="3">
        <f t="shared" si="2"/>
        <v>5.25</v>
      </c>
    </row>
    <row r="10" spans="1:11">
      <c r="A10">
        <v>9</v>
      </c>
      <c r="B10" s="1">
        <v>39465</v>
      </c>
      <c r="C10" t="s">
        <v>8</v>
      </c>
      <c r="D10" t="s">
        <v>15</v>
      </c>
      <c r="E10" t="s">
        <v>10</v>
      </c>
      <c r="F10">
        <v>15</v>
      </c>
      <c r="G10" s="3">
        <v>700</v>
      </c>
      <c r="H10" s="3">
        <v>10500</v>
      </c>
      <c r="I10" s="2">
        <f t="shared" si="0"/>
        <v>39448</v>
      </c>
      <c r="J10" t="str">
        <f t="shared" si="1"/>
        <v>Q1</v>
      </c>
      <c r="K10" s="3">
        <f t="shared" si="2"/>
        <v>315</v>
      </c>
    </row>
    <row r="11" spans="1:11">
      <c r="A11">
        <v>10</v>
      </c>
      <c r="B11" s="1">
        <v>39466</v>
      </c>
      <c r="C11" t="s">
        <v>14</v>
      </c>
      <c r="D11" t="s">
        <v>20</v>
      </c>
      <c r="E11" t="s">
        <v>16</v>
      </c>
      <c r="F11">
        <v>18</v>
      </c>
      <c r="G11" s="3">
        <v>2500</v>
      </c>
      <c r="H11" s="3">
        <v>45000</v>
      </c>
      <c r="I11" s="2">
        <f t="shared" si="0"/>
        <v>39448</v>
      </c>
      <c r="J11" t="str">
        <f t="shared" si="1"/>
        <v>Q1</v>
      </c>
      <c r="K11" s="3">
        <f t="shared" si="2"/>
        <v>1350</v>
      </c>
    </row>
    <row r="12" spans="1:11">
      <c r="A12">
        <v>11</v>
      </c>
      <c r="B12" s="1">
        <v>39470</v>
      </c>
      <c r="C12" t="s">
        <v>17</v>
      </c>
      <c r="D12" t="s">
        <v>9</v>
      </c>
      <c r="E12" t="s">
        <v>19</v>
      </c>
      <c r="F12">
        <v>16</v>
      </c>
      <c r="G12" s="3">
        <v>500</v>
      </c>
      <c r="H12" s="3">
        <v>8000</v>
      </c>
      <c r="I12" s="2">
        <f t="shared" si="0"/>
        <v>39448</v>
      </c>
      <c r="J12" t="str">
        <f t="shared" si="1"/>
        <v>Q1</v>
      </c>
      <c r="K12" s="3">
        <f t="shared" si="2"/>
        <v>240</v>
      </c>
    </row>
    <row r="13" spans="1:11">
      <c r="A13">
        <v>12</v>
      </c>
      <c r="B13" s="1">
        <v>39473</v>
      </c>
      <c r="C13" t="s">
        <v>17</v>
      </c>
      <c r="D13" t="s">
        <v>20</v>
      </c>
      <c r="E13" t="s">
        <v>19</v>
      </c>
      <c r="F13">
        <v>20</v>
      </c>
      <c r="G13" s="3">
        <v>500</v>
      </c>
      <c r="H13" s="3">
        <v>10000</v>
      </c>
      <c r="I13" s="2">
        <f t="shared" si="0"/>
        <v>39448</v>
      </c>
      <c r="J13" t="str">
        <f t="shared" si="1"/>
        <v>Q1</v>
      </c>
      <c r="K13" s="3">
        <f t="shared" si="2"/>
        <v>300</v>
      </c>
    </row>
    <row r="14" spans="1:11">
      <c r="A14">
        <v>13</v>
      </c>
      <c r="B14" s="1">
        <v>39473</v>
      </c>
      <c r="C14" t="s">
        <v>14</v>
      </c>
      <c r="D14" t="s">
        <v>9</v>
      </c>
      <c r="E14" t="s">
        <v>16</v>
      </c>
      <c r="F14">
        <v>6</v>
      </c>
      <c r="G14" s="3">
        <v>2500</v>
      </c>
      <c r="H14" s="3">
        <v>15000</v>
      </c>
      <c r="I14" s="2">
        <f t="shared" si="0"/>
        <v>39448</v>
      </c>
      <c r="J14" t="str">
        <f t="shared" si="1"/>
        <v>Q1</v>
      </c>
      <c r="K14" s="3">
        <f t="shared" si="2"/>
        <v>450</v>
      </c>
    </row>
    <row r="15" spans="1:11">
      <c r="A15">
        <v>14</v>
      </c>
      <c r="B15" s="1">
        <v>39474</v>
      </c>
      <c r="C15" t="s">
        <v>17</v>
      </c>
      <c r="D15" t="s">
        <v>9</v>
      </c>
      <c r="E15" t="s">
        <v>10</v>
      </c>
      <c r="F15">
        <v>7</v>
      </c>
      <c r="G15" s="3">
        <v>700</v>
      </c>
      <c r="H15" s="3">
        <v>4900</v>
      </c>
      <c r="I15" s="2">
        <f t="shared" si="0"/>
        <v>39448</v>
      </c>
      <c r="J15" t="str">
        <f t="shared" si="1"/>
        <v>Q1</v>
      </c>
      <c r="K15" s="3">
        <f t="shared" si="2"/>
        <v>147</v>
      </c>
    </row>
    <row r="16" spans="1:11">
      <c r="A16">
        <v>15</v>
      </c>
      <c r="B16" s="1">
        <v>39477</v>
      </c>
      <c r="C16" t="s">
        <v>14</v>
      </c>
      <c r="D16" t="s">
        <v>18</v>
      </c>
      <c r="E16" t="s">
        <v>16</v>
      </c>
      <c r="F16">
        <v>12</v>
      </c>
      <c r="G16" s="3">
        <v>2500</v>
      </c>
      <c r="H16" s="3">
        <v>30000</v>
      </c>
      <c r="I16" s="2">
        <f t="shared" si="0"/>
        <v>39448</v>
      </c>
      <c r="J16" t="str">
        <f t="shared" si="1"/>
        <v>Q1</v>
      </c>
      <c r="K16" s="3">
        <f t="shared" si="2"/>
        <v>900</v>
      </c>
    </row>
    <row r="17" spans="1:11">
      <c r="A17">
        <v>16</v>
      </c>
      <c r="B17" s="1">
        <v>39477</v>
      </c>
      <c r="C17" t="s">
        <v>17</v>
      </c>
      <c r="D17" t="s">
        <v>12</v>
      </c>
      <c r="E17" t="s">
        <v>19</v>
      </c>
      <c r="F17">
        <v>14</v>
      </c>
      <c r="G17" s="3">
        <v>500</v>
      </c>
      <c r="H17" s="3">
        <v>7000</v>
      </c>
      <c r="I17" s="2">
        <f t="shared" si="0"/>
        <v>39448</v>
      </c>
      <c r="J17" t="str">
        <f t="shared" si="1"/>
        <v>Q1</v>
      </c>
      <c r="K17" s="3">
        <f t="shared" si="2"/>
        <v>210</v>
      </c>
    </row>
    <row r="18" spans="1:11">
      <c r="A18">
        <v>17</v>
      </c>
      <c r="B18" s="1">
        <v>39480</v>
      </c>
      <c r="C18" t="s">
        <v>8</v>
      </c>
      <c r="D18" t="s">
        <v>9</v>
      </c>
      <c r="E18" t="s">
        <v>10</v>
      </c>
      <c r="F18">
        <v>3</v>
      </c>
      <c r="G18" s="3">
        <v>700</v>
      </c>
      <c r="H18" s="3">
        <v>2100</v>
      </c>
      <c r="I18" s="2">
        <f t="shared" si="0"/>
        <v>39479</v>
      </c>
      <c r="J18" t="str">
        <f t="shared" si="1"/>
        <v>Q1</v>
      </c>
      <c r="K18" s="3">
        <f t="shared" si="2"/>
        <v>63</v>
      </c>
    </row>
    <row r="19" spans="1:11">
      <c r="A19">
        <v>18</v>
      </c>
      <c r="B19" s="1">
        <v>39480</v>
      </c>
      <c r="C19" t="s">
        <v>11</v>
      </c>
      <c r="D19" t="s">
        <v>18</v>
      </c>
      <c r="E19" t="s">
        <v>10</v>
      </c>
      <c r="F19">
        <v>15</v>
      </c>
      <c r="G19" s="3">
        <v>700</v>
      </c>
      <c r="H19" s="3">
        <v>10500</v>
      </c>
      <c r="I19" s="2">
        <f t="shared" si="0"/>
        <v>39479</v>
      </c>
      <c r="J19" t="str">
        <f t="shared" si="1"/>
        <v>Q1</v>
      </c>
      <c r="K19" s="3">
        <f t="shared" si="2"/>
        <v>315</v>
      </c>
    </row>
    <row r="20" spans="1:11">
      <c r="A20">
        <v>19</v>
      </c>
      <c r="B20" s="1">
        <v>39489</v>
      </c>
      <c r="C20" t="s">
        <v>17</v>
      </c>
      <c r="D20" t="s">
        <v>18</v>
      </c>
      <c r="E20" t="s">
        <v>19</v>
      </c>
      <c r="F20">
        <v>9</v>
      </c>
      <c r="G20" s="3">
        <v>500</v>
      </c>
      <c r="H20" s="3">
        <v>4500</v>
      </c>
      <c r="I20" s="2">
        <f t="shared" si="0"/>
        <v>39479</v>
      </c>
      <c r="J20" t="str">
        <f t="shared" si="1"/>
        <v>Q1</v>
      </c>
      <c r="K20" s="3">
        <f t="shared" si="2"/>
        <v>135</v>
      </c>
    </row>
    <row r="21" spans="1:11">
      <c r="A21">
        <v>20</v>
      </c>
      <c r="B21" s="1">
        <v>39490</v>
      </c>
      <c r="C21" t="s">
        <v>8</v>
      </c>
      <c r="D21" t="s">
        <v>20</v>
      </c>
      <c r="E21" t="s">
        <v>10</v>
      </c>
      <c r="F21">
        <v>1</v>
      </c>
      <c r="G21" s="3">
        <v>700</v>
      </c>
      <c r="H21" s="3">
        <v>700</v>
      </c>
      <c r="I21" s="2">
        <f t="shared" si="0"/>
        <v>39479</v>
      </c>
      <c r="J21" t="str">
        <f t="shared" si="1"/>
        <v>Q1</v>
      </c>
      <c r="K21" s="3">
        <f t="shared" si="2"/>
        <v>21</v>
      </c>
    </row>
    <row r="22" spans="1:11">
      <c r="A22">
        <v>21</v>
      </c>
      <c r="B22" s="1">
        <v>39491</v>
      </c>
      <c r="C22" t="s">
        <v>17</v>
      </c>
      <c r="D22" t="s">
        <v>18</v>
      </c>
      <c r="E22" t="s">
        <v>19</v>
      </c>
      <c r="F22">
        <v>10</v>
      </c>
      <c r="G22" s="3">
        <v>500</v>
      </c>
      <c r="H22" s="3">
        <v>5000</v>
      </c>
      <c r="I22" s="2">
        <f t="shared" si="0"/>
        <v>39479</v>
      </c>
      <c r="J22" t="str">
        <f t="shared" si="1"/>
        <v>Q1</v>
      </c>
      <c r="K22" s="3">
        <f t="shared" si="2"/>
        <v>150</v>
      </c>
    </row>
    <row r="23" spans="1:11">
      <c r="A23">
        <v>22</v>
      </c>
      <c r="B23" s="1">
        <v>39495</v>
      </c>
      <c r="C23" t="s">
        <v>11</v>
      </c>
      <c r="D23" t="s">
        <v>9</v>
      </c>
      <c r="E23" t="s">
        <v>19</v>
      </c>
      <c r="F23">
        <v>13</v>
      </c>
      <c r="G23" s="3">
        <v>500</v>
      </c>
      <c r="H23" s="3">
        <v>6500</v>
      </c>
      <c r="I23" s="2">
        <f t="shared" si="0"/>
        <v>39479</v>
      </c>
      <c r="J23" t="str">
        <f t="shared" si="1"/>
        <v>Q1</v>
      </c>
      <c r="K23" s="3">
        <f t="shared" si="2"/>
        <v>195</v>
      </c>
    </row>
    <row r="24" spans="1:11">
      <c r="A24">
        <v>23</v>
      </c>
      <c r="B24" s="1">
        <v>39500</v>
      </c>
      <c r="C24" t="s">
        <v>17</v>
      </c>
      <c r="D24" t="s">
        <v>9</v>
      </c>
      <c r="E24" t="s">
        <v>10</v>
      </c>
      <c r="F24">
        <v>2</v>
      </c>
      <c r="G24" s="3">
        <v>700</v>
      </c>
      <c r="H24" s="3">
        <v>1400</v>
      </c>
      <c r="I24" s="2">
        <f t="shared" si="0"/>
        <v>39479</v>
      </c>
      <c r="J24" t="str">
        <f t="shared" si="1"/>
        <v>Q1</v>
      </c>
      <c r="K24" s="3">
        <f t="shared" si="2"/>
        <v>42</v>
      </c>
    </row>
    <row r="25" spans="1:11">
      <c r="A25">
        <v>24</v>
      </c>
      <c r="B25" s="1">
        <v>39501</v>
      </c>
      <c r="C25" t="s">
        <v>8</v>
      </c>
      <c r="D25" t="s">
        <v>18</v>
      </c>
      <c r="E25" t="s">
        <v>10</v>
      </c>
      <c r="F25">
        <v>3</v>
      </c>
      <c r="G25" s="3">
        <v>700</v>
      </c>
      <c r="H25" s="3">
        <v>2100</v>
      </c>
      <c r="I25" s="2">
        <f t="shared" si="0"/>
        <v>39479</v>
      </c>
      <c r="J25" t="str">
        <f t="shared" si="1"/>
        <v>Q1</v>
      </c>
      <c r="K25" s="3">
        <f t="shared" si="2"/>
        <v>63</v>
      </c>
    </row>
    <row r="26" spans="1:11">
      <c r="A26">
        <v>25</v>
      </c>
      <c r="B26" s="1">
        <v>39506</v>
      </c>
      <c r="C26" t="s">
        <v>14</v>
      </c>
      <c r="D26" t="s">
        <v>18</v>
      </c>
      <c r="E26" t="s">
        <v>16</v>
      </c>
      <c r="F26">
        <v>13</v>
      </c>
      <c r="G26" s="3">
        <v>2500</v>
      </c>
      <c r="H26" s="3">
        <v>32500</v>
      </c>
      <c r="I26" s="2">
        <f t="shared" si="0"/>
        <v>39479</v>
      </c>
      <c r="J26" t="str">
        <f t="shared" si="1"/>
        <v>Q1</v>
      </c>
      <c r="K26" s="3">
        <f t="shared" si="2"/>
        <v>975</v>
      </c>
    </row>
    <row r="27" spans="1:11">
      <c r="A27">
        <v>26</v>
      </c>
      <c r="B27" s="1">
        <v>39508</v>
      </c>
      <c r="C27" t="s">
        <v>17</v>
      </c>
      <c r="D27" t="s">
        <v>15</v>
      </c>
      <c r="E27" t="s">
        <v>19</v>
      </c>
      <c r="F27">
        <v>5</v>
      </c>
      <c r="G27" s="3">
        <v>500</v>
      </c>
      <c r="H27" s="3">
        <v>2500</v>
      </c>
      <c r="I27" s="2">
        <f t="shared" si="0"/>
        <v>39508</v>
      </c>
      <c r="J27" t="str">
        <f t="shared" si="1"/>
        <v>Q1</v>
      </c>
      <c r="K27" s="3">
        <f t="shared" si="2"/>
        <v>75</v>
      </c>
    </row>
    <row r="28" spans="1:11">
      <c r="A28">
        <v>27</v>
      </c>
      <c r="B28" s="1">
        <v>39511</v>
      </c>
      <c r="C28" t="s">
        <v>8</v>
      </c>
      <c r="D28" t="s">
        <v>9</v>
      </c>
      <c r="E28" t="s">
        <v>10</v>
      </c>
      <c r="F28">
        <v>20</v>
      </c>
      <c r="G28" s="3">
        <v>700</v>
      </c>
      <c r="H28" s="3">
        <v>14000</v>
      </c>
      <c r="I28" s="2">
        <f t="shared" si="0"/>
        <v>39508</v>
      </c>
      <c r="J28" t="str">
        <f t="shared" si="1"/>
        <v>Q1</v>
      </c>
      <c r="K28" s="3">
        <f t="shared" si="2"/>
        <v>420</v>
      </c>
    </row>
    <row r="29" spans="1:11">
      <c r="A29">
        <v>28</v>
      </c>
      <c r="B29" s="1">
        <v>39512</v>
      </c>
      <c r="C29" t="s">
        <v>17</v>
      </c>
      <c r="D29" t="s">
        <v>9</v>
      </c>
      <c r="E29" t="s">
        <v>19</v>
      </c>
      <c r="F29">
        <v>8</v>
      </c>
      <c r="G29" s="3">
        <v>500</v>
      </c>
      <c r="H29" s="3">
        <v>4000</v>
      </c>
      <c r="I29" s="2">
        <f t="shared" si="0"/>
        <v>39508</v>
      </c>
      <c r="J29" t="str">
        <f t="shared" si="1"/>
        <v>Q1</v>
      </c>
      <c r="K29" s="3">
        <f t="shared" si="2"/>
        <v>120</v>
      </c>
    </row>
    <row r="30" spans="1:11">
      <c r="A30">
        <v>29</v>
      </c>
      <c r="B30" s="1">
        <v>39520</v>
      </c>
      <c r="C30" t="s">
        <v>11</v>
      </c>
      <c r="D30" t="s">
        <v>9</v>
      </c>
      <c r="E30" t="s">
        <v>13</v>
      </c>
      <c r="F30">
        <v>14</v>
      </c>
      <c r="G30" s="3">
        <v>25</v>
      </c>
      <c r="H30" s="3">
        <v>350</v>
      </c>
      <c r="I30" s="2">
        <f t="shared" si="0"/>
        <v>39508</v>
      </c>
      <c r="J30" t="str">
        <f t="shared" si="1"/>
        <v>Q1</v>
      </c>
      <c r="K30" s="3">
        <f t="shared" si="2"/>
        <v>10.5</v>
      </c>
    </row>
    <row r="31" spans="1:11">
      <c r="A31">
        <v>30</v>
      </c>
      <c r="B31" s="1">
        <v>39523</v>
      </c>
      <c r="C31" t="s">
        <v>11</v>
      </c>
      <c r="D31" t="s">
        <v>15</v>
      </c>
      <c r="E31" t="s">
        <v>13</v>
      </c>
      <c r="F31">
        <v>10</v>
      </c>
      <c r="G31" s="3">
        <v>25</v>
      </c>
      <c r="H31" s="3">
        <v>250</v>
      </c>
      <c r="I31" s="2">
        <f t="shared" si="0"/>
        <v>39508</v>
      </c>
      <c r="J31" t="str">
        <f t="shared" si="1"/>
        <v>Q1</v>
      </c>
      <c r="K31" s="3">
        <f t="shared" si="2"/>
        <v>7.5</v>
      </c>
    </row>
    <row r="32" spans="1:11">
      <c r="A32">
        <v>31</v>
      </c>
      <c r="B32" s="1">
        <v>39526</v>
      </c>
      <c r="C32" t="s">
        <v>8</v>
      </c>
      <c r="D32" t="s">
        <v>20</v>
      </c>
      <c r="E32" t="s">
        <v>10</v>
      </c>
      <c r="F32">
        <v>14</v>
      </c>
      <c r="G32" s="3">
        <v>700</v>
      </c>
      <c r="H32" s="3">
        <v>9800</v>
      </c>
      <c r="I32" s="2">
        <f t="shared" si="0"/>
        <v>39508</v>
      </c>
      <c r="J32" t="str">
        <f t="shared" si="1"/>
        <v>Q1</v>
      </c>
      <c r="K32" s="3">
        <f t="shared" si="2"/>
        <v>294</v>
      </c>
    </row>
    <row r="33" spans="1:11">
      <c r="A33">
        <v>32</v>
      </c>
      <c r="B33" s="1">
        <v>39528</v>
      </c>
      <c r="C33" t="s">
        <v>11</v>
      </c>
      <c r="D33" t="s">
        <v>9</v>
      </c>
      <c r="E33" t="s">
        <v>10</v>
      </c>
      <c r="F33">
        <v>8</v>
      </c>
      <c r="G33" s="3">
        <v>700</v>
      </c>
      <c r="H33" s="3">
        <v>5600</v>
      </c>
      <c r="I33" s="2">
        <f t="shared" si="0"/>
        <v>39508</v>
      </c>
      <c r="J33" t="str">
        <f t="shared" si="1"/>
        <v>Q1</v>
      </c>
      <c r="K33" s="3">
        <f t="shared" si="2"/>
        <v>168</v>
      </c>
    </row>
    <row r="34" spans="1:11">
      <c r="A34">
        <v>33</v>
      </c>
      <c r="B34" s="1">
        <v>39531</v>
      </c>
      <c r="C34" t="s">
        <v>11</v>
      </c>
      <c r="D34" t="s">
        <v>18</v>
      </c>
      <c r="E34" t="s">
        <v>10</v>
      </c>
      <c r="F34">
        <v>5</v>
      </c>
      <c r="G34" s="3">
        <v>700</v>
      </c>
      <c r="H34" s="3">
        <v>3500</v>
      </c>
      <c r="I34" s="2">
        <f t="shared" si="0"/>
        <v>39508</v>
      </c>
      <c r="J34" t="str">
        <f t="shared" si="1"/>
        <v>Q1</v>
      </c>
      <c r="K34" s="3">
        <f t="shared" si="2"/>
        <v>105</v>
      </c>
    </row>
    <row r="35" spans="1:11">
      <c r="A35">
        <v>34</v>
      </c>
      <c r="B35" s="1">
        <v>39534</v>
      </c>
      <c r="C35" t="s">
        <v>11</v>
      </c>
      <c r="D35" t="s">
        <v>20</v>
      </c>
      <c r="E35" t="s">
        <v>13</v>
      </c>
      <c r="F35">
        <v>6</v>
      </c>
      <c r="G35" s="3">
        <v>25</v>
      </c>
      <c r="H35" s="3">
        <v>150</v>
      </c>
      <c r="I35" s="2">
        <f t="shared" si="0"/>
        <v>39508</v>
      </c>
      <c r="J35" t="str">
        <f t="shared" si="1"/>
        <v>Q1</v>
      </c>
      <c r="K35" s="3">
        <f t="shared" si="2"/>
        <v>4.5</v>
      </c>
    </row>
    <row r="36" spans="1:11">
      <c r="A36">
        <v>35</v>
      </c>
      <c r="B36" s="1">
        <v>39536</v>
      </c>
      <c r="C36" t="s">
        <v>11</v>
      </c>
      <c r="D36" t="s">
        <v>18</v>
      </c>
      <c r="E36" t="s">
        <v>13</v>
      </c>
      <c r="F36">
        <v>8</v>
      </c>
      <c r="G36" s="3">
        <v>25</v>
      </c>
      <c r="H36" s="3">
        <v>200</v>
      </c>
      <c r="I36" s="2">
        <f t="shared" si="0"/>
        <v>39508</v>
      </c>
      <c r="J36" t="str">
        <f t="shared" si="1"/>
        <v>Q1</v>
      </c>
      <c r="K36" s="3">
        <f t="shared" si="2"/>
        <v>6</v>
      </c>
    </row>
    <row r="37" spans="1:11">
      <c r="A37">
        <v>36</v>
      </c>
      <c r="B37" s="1">
        <v>39537</v>
      </c>
      <c r="C37" t="s">
        <v>17</v>
      </c>
      <c r="D37" t="s">
        <v>12</v>
      </c>
      <c r="E37" t="s">
        <v>19</v>
      </c>
      <c r="F37">
        <v>17</v>
      </c>
      <c r="G37" s="3">
        <v>500</v>
      </c>
      <c r="H37" s="3">
        <v>8500</v>
      </c>
      <c r="I37" s="2">
        <f t="shared" si="0"/>
        <v>39508</v>
      </c>
      <c r="J37" t="str">
        <f t="shared" si="1"/>
        <v>Q1</v>
      </c>
      <c r="K37" s="3">
        <f t="shared" si="2"/>
        <v>255</v>
      </c>
    </row>
    <row r="38" spans="1:11">
      <c r="A38">
        <v>37</v>
      </c>
      <c r="B38" s="1">
        <v>39538</v>
      </c>
      <c r="C38" t="s">
        <v>8</v>
      </c>
      <c r="D38" t="s">
        <v>18</v>
      </c>
      <c r="E38" t="s">
        <v>10</v>
      </c>
      <c r="F38">
        <v>13</v>
      </c>
      <c r="G38" s="3">
        <v>700</v>
      </c>
      <c r="H38" s="3">
        <v>9100</v>
      </c>
      <c r="I38" s="2">
        <f t="shared" si="0"/>
        <v>39508</v>
      </c>
      <c r="J38" t="str">
        <f t="shared" si="1"/>
        <v>Q1</v>
      </c>
      <c r="K38" s="3">
        <f t="shared" si="2"/>
        <v>273</v>
      </c>
    </row>
    <row r="39" spans="1:11">
      <c r="A39">
        <v>38</v>
      </c>
      <c r="B39" s="1">
        <v>39539</v>
      </c>
      <c r="C39" t="s">
        <v>17</v>
      </c>
      <c r="D39" t="s">
        <v>15</v>
      </c>
      <c r="E39" t="s">
        <v>19</v>
      </c>
      <c r="F39">
        <v>18</v>
      </c>
      <c r="G39" s="3">
        <v>500</v>
      </c>
      <c r="H39" s="3">
        <v>9000</v>
      </c>
      <c r="I39" s="2">
        <f t="shared" si="0"/>
        <v>39539</v>
      </c>
      <c r="J39" t="str">
        <f t="shared" si="1"/>
        <v>Q2</v>
      </c>
      <c r="K39" s="3">
        <f t="shared" si="2"/>
        <v>270</v>
      </c>
    </row>
    <row r="40" spans="1:11">
      <c r="A40">
        <v>39</v>
      </c>
      <c r="B40" s="1">
        <v>39540</v>
      </c>
      <c r="C40" t="s">
        <v>8</v>
      </c>
      <c r="D40" t="s">
        <v>9</v>
      </c>
      <c r="E40" t="s">
        <v>10</v>
      </c>
      <c r="F40">
        <v>11</v>
      </c>
      <c r="G40" s="3">
        <v>700</v>
      </c>
      <c r="H40" s="3">
        <v>7700</v>
      </c>
      <c r="I40" s="2">
        <f t="shared" si="0"/>
        <v>39539</v>
      </c>
      <c r="J40" t="str">
        <f t="shared" si="1"/>
        <v>Q2</v>
      </c>
      <c r="K40" s="3">
        <f t="shared" si="2"/>
        <v>231</v>
      </c>
    </row>
    <row r="41" spans="1:11">
      <c r="A41">
        <v>40</v>
      </c>
      <c r="B41" s="1">
        <v>39540</v>
      </c>
      <c r="C41" t="s">
        <v>11</v>
      </c>
      <c r="D41" t="s">
        <v>18</v>
      </c>
      <c r="E41" t="s">
        <v>13</v>
      </c>
      <c r="F41">
        <v>17</v>
      </c>
      <c r="G41" s="3">
        <v>25</v>
      </c>
      <c r="H41" s="3">
        <v>425</v>
      </c>
      <c r="I41" s="2">
        <f t="shared" si="0"/>
        <v>39539</v>
      </c>
      <c r="J41" t="str">
        <f t="shared" si="1"/>
        <v>Q2</v>
      </c>
      <c r="K41" s="3">
        <f t="shared" si="2"/>
        <v>12.75</v>
      </c>
    </row>
    <row r="42" spans="1:11">
      <c r="A42">
        <v>41</v>
      </c>
      <c r="B42" s="1">
        <v>39545</v>
      </c>
      <c r="C42" t="s">
        <v>17</v>
      </c>
      <c r="D42" t="s">
        <v>12</v>
      </c>
      <c r="E42" t="s">
        <v>19</v>
      </c>
      <c r="F42">
        <v>10</v>
      </c>
      <c r="G42" s="3">
        <v>500</v>
      </c>
      <c r="H42" s="3">
        <v>5000</v>
      </c>
      <c r="I42" s="2">
        <f t="shared" si="0"/>
        <v>39539</v>
      </c>
      <c r="J42" t="str">
        <f t="shared" si="1"/>
        <v>Q2</v>
      </c>
      <c r="K42" s="3">
        <f t="shared" si="2"/>
        <v>150</v>
      </c>
    </row>
    <row r="43" spans="1:11">
      <c r="A43">
        <v>42</v>
      </c>
      <c r="B43" s="1">
        <v>39545</v>
      </c>
      <c r="C43" t="s">
        <v>17</v>
      </c>
      <c r="D43" t="s">
        <v>15</v>
      </c>
      <c r="E43" t="s">
        <v>19</v>
      </c>
      <c r="F43">
        <v>1</v>
      </c>
      <c r="G43" s="3">
        <v>500</v>
      </c>
      <c r="H43" s="3">
        <v>500</v>
      </c>
      <c r="I43" s="2">
        <f t="shared" si="0"/>
        <v>39539</v>
      </c>
      <c r="J43" t="str">
        <f t="shared" si="1"/>
        <v>Q2</v>
      </c>
      <c r="K43" s="3">
        <f t="shared" si="2"/>
        <v>15</v>
      </c>
    </row>
    <row r="44" spans="1:11">
      <c r="A44">
        <v>43</v>
      </c>
      <c r="B44" s="1">
        <v>39550</v>
      </c>
      <c r="C44" t="s">
        <v>8</v>
      </c>
      <c r="D44" t="s">
        <v>20</v>
      </c>
      <c r="E44" t="s">
        <v>10</v>
      </c>
      <c r="F44">
        <v>10</v>
      </c>
      <c r="G44" s="3">
        <v>700</v>
      </c>
      <c r="H44" s="3">
        <v>7000</v>
      </c>
      <c r="I44" s="2">
        <f t="shared" si="0"/>
        <v>39539</v>
      </c>
      <c r="J44" t="str">
        <f t="shared" si="1"/>
        <v>Q2</v>
      </c>
      <c r="K44" s="3">
        <f t="shared" si="2"/>
        <v>210</v>
      </c>
    </row>
    <row r="45" spans="1:11">
      <c r="A45">
        <v>44</v>
      </c>
      <c r="B45" s="1">
        <v>39551</v>
      </c>
      <c r="C45" t="s">
        <v>14</v>
      </c>
      <c r="D45" t="s">
        <v>9</v>
      </c>
      <c r="E45" t="s">
        <v>16</v>
      </c>
      <c r="F45">
        <v>18</v>
      </c>
      <c r="G45" s="3">
        <v>2500</v>
      </c>
      <c r="H45" s="3">
        <v>45000</v>
      </c>
      <c r="I45" s="2">
        <f t="shared" si="0"/>
        <v>39539</v>
      </c>
      <c r="J45" t="str">
        <f t="shared" si="1"/>
        <v>Q2</v>
      </c>
      <c r="K45" s="3">
        <f t="shared" si="2"/>
        <v>1350</v>
      </c>
    </row>
    <row r="46" spans="1:11">
      <c r="A46">
        <v>45</v>
      </c>
      <c r="B46" s="1">
        <v>39551</v>
      </c>
      <c r="C46" t="s">
        <v>14</v>
      </c>
      <c r="D46" t="s">
        <v>18</v>
      </c>
      <c r="E46" t="s">
        <v>16</v>
      </c>
      <c r="F46">
        <v>6</v>
      </c>
      <c r="G46" s="3">
        <v>2500</v>
      </c>
      <c r="H46" s="3">
        <v>15000</v>
      </c>
      <c r="I46" s="2">
        <f t="shared" si="0"/>
        <v>39539</v>
      </c>
      <c r="J46" t="str">
        <f t="shared" si="1"/>
        <v>Q2</v>
      </c>
      <c r="K46" s="3">
        <f t="shared" si="2"/>
        <v>450</v>
      </c>
    </row>
    <row r="47" spans="1:11">
      <c r="A47">
        <v>46</v>
      </c>
      <c r="B47" s="1">
        <v>39554</v>
      </c>
      <c r="C47" t="s">
        <v>17</v>
      </c>
      <c r="D47" t="s">
        <v>18</v>
      </c>
      <c r="E47" t="s">
        <v>19</v>
      </c>
      <c r="F47">
        <v>17</v>
      </c>
      <c r="G47" s="3">
        <v>500</v>
      </c>
      <c r="H47" s="3">
        <v>8500</v>
      </c>
      <c r="I47" s="2">
        <f t="shared" si="0"/>
        <v>39539</v>
      </c>
      <c r="J47" t="str">
        <f t="shared" si="1"/>
        <v>Q2</v>
      </c>
      <c r="K47" s="3">
        <f t="shared" si="2"/>
        <v>255</v>
      </c>
    </row>
    <row r="48" spans="1:11">
      <c r="A48">
        <v>47</v>
      </c>
      <c r="B48" s="1">
        <v>39556</v>
      </c>
      <c r="C48" t="s">
        <v>11</v>
      </c>
      <c r="D48" t="s">
        <v>18</v>
      </c>
      <c r="E48" t="s">
        <v>19</v>
      </c>
      <c r="F48">
        <v>11</v>
      </c>
      <c r="G48" s="3">
        <v>500</v>
      </c>
      <c r="H48" s="3">
        <v>5500</v>
      </c>
      <c r="I48" s="2">
        <f t="shared" si="0"/>
        <v>39539</v>
      </c>
      <c r="J48" t="str">
        <f t="shared" si="1"/>
        <v>Q2</v>
      </c>
      <c r="K48" s="3">
        <f t="shared" si="2"/>
        <v>165</v>
      </c>
    </row>
    <row r="49" spans="1:11">
      <c r="A49">
        <v>48</v>
      </c>
      <c r="B49" s="1">
        <v>39556</v>
      </c>
      <c r="C49" t="s">
        <v>11</v>
      </c>
      <c r="D49" t="s">
        <v>9</v>
      </c>
      <c r="E49" t="s">
        <v>13</v>
      </c>
      <c r="F49">
        <v>6</v>
      </c>
      <c r="G49" s="3">
        <v>25</v>
      </c>
      <c r="H49" s="3">
        <v>150</v>
      </c>
      <c r="I49" s="2">
        <f t="shared" si="0"/>
        <v>39539</v>
      </c>
      <c r="J49" t="str">
        <f t="shared" si="1"/>
        <v>Q2</v>
      </c>
      <c r="K49" s="3">
        <f t="shared" si="2"/>
        <v>4.5</v>
      </c>
    </row>
    <row r="50" spans="1:11">
      <c r="A50">
        <v>49</v>
      </c>
      <c r="B50" s="1">
        <v>39557</v>
      </c>
      <c r="C50" t="s">
        <v>17</v>
      </c>
      <c r="D50" t="s">
        <v>20</v>
      </c>
      <c r="E50" t="s">
        <v>19</v>
      </c>
      <c r="F50">
        <v>6</v>
      </c>
      <c r="G50" s="3">
        <v>500</v>
      </c>
      <c r="H50" s="3">
        <v>3000</v>
      </c>
      <c r="I50" s="2">
        <f t="shared" si="0"/>
        <v>39539</v>
      </c>
      <c r="J50" t="str">
        <f t="shared" si="1"/>
        <v>Q2</v>
      </c>
      <c r="K50" s="3">
        <f t="shared" si="2"/>
        <v>90</v>
      </c>
    </row>
    <row r="51" spans="1:11">
      <c r="A51">
        <v>50</v>
      </c>
      <c r="B51" s="1">
        <v>39558</v>
      </c>
      <c r="C51" t="s">
        <v>11</v>
      </c>
      <c r="D51" t="s">
        <v>9</v>
      </c>
      <c r="E51" t="s">
        <v>19</v>
      </c>
      <c r="F51">
        <v>1</v>
      </c>
      <c r="G51" s="3">
        <v>500</v>
      </c>
      <c r="H51" s="3">
        <v>500</v>
      </c>
      <c r="I51" s="2">
        <f t="shared" si="0"/>
        <v>39539</v>
      </c>
      <c r="J51" t="str">
        <f t="shared" si="1"/>
        <v>Q2</v>
      </c>
      <c r="K51" s="3">
        <f t="shared" si="2"/>
        <v>15</v>
      </c>
    </row>
    <row r="52" spans="1:11">
      <c r="A52">
        <v>51</v>
      </c>
      <c r="B52" s="1">
        <v>39558</v>
      </c>
      <c r="C52" t="s">
        <v>8</v>
      </c>
      <c r="D52" t="s">
        <v>9</v>
      </c>
      <c r="E52" t="s">
        <v>10</v>
      </c>
      <c r="F52">
        <v>2</v>
      </c>
      <c r="G52" s="3">
        <v>700</v>
      </c>
      <c r="H52" s="3">
        <v>1400</v>
      </c>
      <c r="I52" s="2">
        <f t="shared" si="0"/>
        <v>39539</v>
      </c>
      <c r="J52" t="str">
        <f t="shared" si="1"/>
        <v>Q2</v>
      </c>
      <c r="K52" s="3">
        <f t="shared" si="2"/>
        <v>42</v>
      </c>
    </row>
    <row r="53" spans="1:11">
      <c r="A53">
        <v>52</v>
      </c>
      <c r="B53" s="1">
        <v>39570</v>
      </c>
      <c r="C53" t="s">
        <v>14</v>
      </c>
      <c r="D53" t="s">
        <v>20</v>
      </c>
      <c r="E53" t="s">
        <v>16</v>
      </c>
      <c r="F53">
        <v>18</v>
      </c>
      <c r="G53" s="3">
        <v>2500</v>
      </c>
      <c r="H53" s="3">
        <v>45000</v>
      </c>
      <c r="I53" s="2">
        <f t="shared" si="0"/>
        <v>39569</v>
      </c>
      <c r="J53" t="str">
        <f t="shared" si="1"/>
        <v>Q2</v>
      </c>
      <c r="K53" s="3">
        <f t="shared" si="2"/>
        <v>1350</v>
      </c>
    </row>
    <row r="54" spans="1:11">
      <c r="A54">
        <v>53</v>
      </c>
      <c r="B54" s="1">
        <v>39572</v>
      </c>
      <c r="C54" t="s">
        <v>17</v>
      </c>
      <c r="D54" t="s">
        <v>18</v>
      </c>
      <c r="E54" t="s">
        <v>19</v>
      </c>
      <c r="F54">
        <v>19</v>
      </c>
      <c r="G54" s="3">
        <v>500</v>
      </c>
      <c r="H54" s="3">
        <v>9500</v>
      </c>
      <c r="I54" s="2">
        <f t="shared" si="0"/>
        <v>39569</v>
      </c>
      <c r="J54" t="str">
        <f t="shared" si="1"/>
        <v>Q2</v>
      </c>
      <c r="K54" s="3">
        <f t="shared" si="2"/>
        <v>285</v>
      </c>
    </row>
    <row r="55" spans="1:11">
      <c r="A55">
        <v>54</v>
      </c>
      <c r="B55" s="1">
        <v>39573</v>
      </c>
      <c r="C55" t="s">
        <v>17</v>
      </c>
      <c r="D55" t="s">
        <v>9</v>
      </c>
      <c r="E55" t="s">
        <v>19</v>
      </c>
      <c r="F55">
        <v>1</v>
      </c>
      <c r="G55" s="3">
        <v>500</v>
      </c>
      <c r="H55" s="3">
        <v>500</v>
      </c>
      <c r="I55" s="2">
        <f t="shared" si="0"/>
        <v>39569</v>
      </c>
      <c r="J55" t="str">
        <f t="shared" si="1"/>
        <v>Q2</v>
      </c>
      <c r="K55" s="3">
        <f t="shared" si="2"/>
        <v>15</v>
      </c>
    </row>
    <row r="56" spans="1:11">
      <c r="A56">
        <v>55</v>
      </c>
      <c r="B56" s="1">
        <v>39575</v>
      </c>
      <c r="C56" t="s">
        <v>11</v>
      </c>
      <c r="D56" t="s">
        <v>9</v>
      </c>
      <c r="E56" t="s">
        <v>13</v>
      </c>
      <c r="F56">
        <v>17</v>
      </c>
      <c r="G56" s="3">
        <v>25</v>
      </c>
      <c r="H56" s="3">
        <v>425</v>
      </c>
      <c r="I56" s="2">
        <f t="shared" si="0"/>
        <v>39569</v>
      </c>
      <c r="J56" t="str">
        <f t="shared" si="1"/>
        <v>Q2</v>
      </c>
      <c r="K56" s="3">
        <f t="shared" si="2"/>
        <v>12.75</v>
      </c>
    </row>
    <row r="57" spans="1:11">
      <c r="A57">
        <v>56</v>
      </c>
      <c r="B57" s="1">
        <v>39578</v>
      </c>
      <c r="C57" t="s">
        <v>14</v>
      </c>
      <c r="D57" t="s">
        <v>12</v>
      </c>
      <c r="E57" t="s">
        <v>16</v>
      </c>
      <c r="F57">
        <v>7</v>
      </c>
      <c r="G57" s="3">
        <v>2500</v>
      </c>
      <c r="H57" s="3">
        <v>17500</v>
      </c>
      <c r="I57" s="2">
        <f t="shared" si="0"/>
        <v>39569</v>
      </c>
      <c r="J57" t="str">
        <f t="shared" si="1"/>
        <v>Q2</v>
      </c>
      <c r="K57" s="3">
        <f t="shared" si="2"/>
        <v>525</v>
      </c>
    </row>
    <row r="58" spans="1:11">
      <c r="A58">
        <v>57</v>
      </c>
      <c r="B58" s="1">
        <v>39580</v>
      </c>
      <c r="C58" t="s">
        <v>8</v>
      </c>
      <c r="D58" t="s">
        <v>12</v>
      </c>
      <c r="E58" t="s">
        <v>10</v>
      </c>
      <c r="F58">
        <v>17</v>
      </c>
      <c r="G58" s="3">
        <v>700</v>
      </c>
      <c r="H58" s="3">
        <v>11900</v>
      </c>
      <c r="I58" s="2">
        <f t="shared" si="0"/>
        <v>39569</v>
      </c>
      <c r="J58" t="str">
        <f t="shared" si="1"/>
        <v>Q2</v>
      </c>
      <c r="K58" s="3">
        <f t="shared" si="2"/>
        <v>357</v>
      </c>
    </row>
    <row r="59" spans="1:11">
      <c r="A59">
        <v>58</v>
      </c>
      <c r="B59" s="1">
        <v>39581</v>
      </c>
      <c r="C59" t="s">
        <v>14</v>
      </c>
      <c r="D59" t="s">
        <v>15</v>
      </c>
      <c r="E59" t="s">
        <v>16</v>
      </c>
      <c r="F59">
        <v>1</v>
      </c>
      <c r="G59" s="3">
        <v>2500</v>
      </c>
      <c r="H59" s="3">
        <v>2500</v>
      </c>
      <c r="I59" s="2">
        <f t="shared" si="0"/>
        <v>39569</v>
      </c>
      <c r="J59" t="str">
        <f t="shared" si="1"/>
        <v>Q2</v>
      </c>
      <c r="K59" s="3">
        <f t="shared" si="2"/>
        <v>75</v>
      </c>
    </row>
    <row r="60" spans="1:11">
      <c r="A60">
        <v>59</v>
      </c>
      <c r="B60" s="1">
        <v>39581</v>
      </c>
      <c r="C60" t="s">
        <v>8</v>
      </c>
      <c r="D60" t="s">
        <v>9</v>
      </c>
      <c r="E60" t="s">
        <v>10</v>
      </c>
      <c r="F60">
        <v>11</v>
      </c>
      <c r="G60" s="3">
        <v>700</v>
      </c>
      <c r="H60" s="3">
        <v>7700</v>
      </c>
      <c r="I60" s="2">
        <f t="shared" si="0"/>
        <v>39569</v>
      </c>
      <c r="J60" t="str">
        <f t="shared" si="1"/>
        <v>Q2</v>
      </c>
      <c r="K60" s="3">
        <f t="shared" si="2"/>
        <v>231</v>
      </c>
    </row>
    <row r="61" spans="1:11">
      <c r="A61">
        <v>60</v>
      </c>
      <c r="B61" s="1">
        <v>39583</v>
      </c>
      <c r="C61" t="s">
        <v>17</v>
      </c>
      <c r="D61" t="s">
        <v>9</v>
      </c>
      <c r="E61" t="s">
        <v>19</v>
      </c>
      <c r="F61">
        <v>1</v>
      </c>
      <c r="G61" s="3">
        <v>500</v>
      </c>
      <c r="H61" s="3">
        <v>500</v>
      </c>
      <c r="I61" s="2">
        <f t="shared" si="0"/>
        <v>39569</v>
      </c>
      <c r="J61" t="str">
        <f t="shared" si="1"/>
        <v>Q2</v>
      </c>
      <c r="K61" s="3">
        <f t="shared" si="2"/>
        <v>15</v>
      </c>
    </row>
    <row r="62" spans="1:11">
      <c r="A62">
        <v>61</v>
      </c>
      <c r="B62" s="1">
        <v>39584</v>
      </c>
      <c r="C62" t="s">
        <v>17</v>
      </c>
      <c r="D62" t="s">
        <v>9</v>
      </c>
      <c r="E62" t="s">
        <v>19</v>
      </c>
      <c r="F62">
        <v>10</v>
      </c>
      <c r="G62" s="3">
        <v>500</v>
      </c>
      <c r="H62" s="3">
        <v>5000</v>
      </c>
      <c r="I62" s="2">
        <f t="shared" si="0"/>
        <v>39569</v>
      </c>
      <c r="J62" t="str">
        <f t="shared" si="1"/>
        <v>Q2</v>
      </c>
      <c r="K62" s="3">
        <f t="shared" si="2"/>
        <v>150</v>
      </c>
    </row>
    <row r="63" spans="1:11">
      <c r="A63">
        <v>62</v>
      </c>
      <c r="B63" s="1">
        <v>39586</v>
      </c>
      <c r="C63" t="s">
        <v>8</v>
      </c>
      <c r="D63" t="s">
        <v>15</v>
      </c>
      <c r="E63" t="s">
        <v>10</v>
      </c>
      <c r="F63">
        <v>8</v>
      </c>
      <c r="G63" s="3">
        <v>700</v>
      </c>
      <c r="H63" s="3">
        <v>5600</v>
      </c>
      <c r="I63" s="2">
        <f t="shared" si="0"/>
        <v>39569</v>
      </c>
      <c r="J63" t="str">
        <f t="shared" si="1"/>
        <v>Q2</v>
      </c>
      <c r="K63" s="3">
        <f t="shared" si="2"/>
        <v>168</v>
      </c>
    </row>
    <row r="64" spans="1:11">
      <c r="A64">
        <v>63</v>
      </c>
      <c r="B64" s="1">
        <v>39588</v>
      </c>
      <c r="C64" t="s">
        <v>8</v>
      </c>
      <c r="D64" t="s">
        <v>12</v>
      </c>
      <c r="E64" t="s">
        <v>10</v>
      </c>
      <c r="F64">
        <v>11</v>
      </c>
      <c r="G64" s="3">
        <v>700</v>
      </c>
      <c r="H64" s="3">
        <v>7700</v>
      </c>
      <c r="I64" s="2">
        <f t="shared" si="0"/>
        <v>39569</v>
      </c>
      <c r="J64" t="str">
        <f t="shared" si="1"/>
        <v>Q2</v>
      </c>
      <c r="K64" s="3">
        <f t="shared" si="2"/>
        <v>231</v>
      </c>
    </row>
    <row r="65" spans="1:11">
      <c r="A65">
        <v>64</v>
      </c>
      <c r="B65" s="1">
        <v>39588</v>
      </c>
      <c r="C65" t="s">
        <v>14</v>
      </c>
      <c r="D65" t="s">
        <v>20</v>
      </c>
      <c r="E65" t="s">
        <v>16</v>
      </c>
      <c r="F65">
        <v>20</v>
      </c>
      <c r="G65" s="3">
        <v>2500</v>
      </c>
      <c r="H65" s="3">
        <v>50000</v>
      </c>
      <c r="I65" s="2">
        <f t="shared" si="0"/>
        <v>39569</v>
      </c>
      <c r="J65" t="str">
        <f t="shared" si="1"/>
        <v>Q2</v>
      </c>
      <c r="K65" s="3">
        <f t="shared" si="2"/>
        <v>1500</v>
      </c>
    </row>
    <row r="66" spans="1:11">
      <c r="A66">
        <v>65</v>
      </c>
      <c r="B66" s="1">
        <v>39591</v>
      </c>
      <c r="C66" t="s">
        <v>17</v>
      </c>
      <c r="D66" t="s">
        <v>9</v>
      </c>
      <c r="E66" t="s">
        <v>19</v>
      </c>
      <c r="F66">
        <v>12</v>
      </c>
      <c r="G66" s="3">
        <v>500</v>
      </c>
      <c r="H66" s="3">
        <v>6000</v>
      </c>
      <c r="I66" s="2">
        <f t="shared" si="0"/>
        <v>39569</v>
      </c>
      <c r="J66" t="str">
        <f t="shared" si="1"/>
        <v>Q2</v>
      </c>
      <c r="K66" s="3">
        <f t="shared" si="2"/>
        <v>180</v>
      </c>
    </row>
    <row r="67" spans="1:11">
      <c r="A67">
        <v>66</v>
      </c>
      <c r="B67" s="1">
        <v>39593</v>
      </c>
      <c r="C67" t="s">
        <v>11</v>
      </c>
      <c r="D67" t="s">
        <v>18</v>
      </c>
      <c r="E67" t="s">
        <v>13</v>
      </c>
      <c r="F67">
        <v>17</v>
      </c>
      <c r="G67" s="3">
        <v>25</v>
      </c>
      <c r="H67" s="3">
        <v>425</v>
      </c>
      <c r="I67" s="2">
        <f t="shared" ref="I67:I130" si="3">DATE(YEAR(B67),MONTH(B67),1)</f>
        <v>39569</v>
      </c>
      <c r="J67" t="str">
        <f t="shared" ref="J67:J130" si="4">"Q"&amp;ROUNDUP(MONTH(B67)/3,0)</f>
        <v>Q2</v>
      </c>
      <c r="K67" s="3">
        <f t="shared" ref="K67:K130" si="5">H67*3%</f>
        <v>12.75</v>
      </c>
    </row>
    <row r="68" spans="1:11">
      <c r="A68">
        <v>67</v>
      </c>
      <c r="B68" s="1">
        <v>39593</v>
      </c>
      <c r="C68" t="s">
        <v>11</v>
      </c>
      <c r="D68" t="s">
        <v>15</v>
      </c>
      <c r="E68" t="s">
        <v>13</v>
      </c>
      <c r="F68">
        <v>17</v>
      </c>
      <c r="G68" s="3">
        <v>25</v>
      </c>
      <c r="H68" s="3">
        <v>425</v>
      </c>
      <c r="I68" s="2">
        <f t="shared" si="3"/>
        <v>39569</v>
      </c>
      <c r="J68" t="str">
        <f t="shared" si="4"/>
        <v>Q2</v>
      </c>
      <c r="K68" s="3">
        <f t="shared" si="5"/>
        <v>12.75</v>
      </c>
    </row>
    <row r="69" spans="1:11">
      <c r="A69">
        <v>68</v>
      </c>
      <c r="B69" s="1">
        <v>39595</v>
      </c>
      <c r="C69" t="s">
        <v>11</v>
      </c>
      <c r="D69" t="s">
        <v>18</v>
      </c>
      <c r="E69" t="s">
        <v>13</v>
      </c>
      <c r="F69">
        <v>2</v>
      </c>
      <c r="G69" s="3">
        <v>25</v>
      </c>
      <c r="H69" s="3">
        <v>50</v>
      </c>
      <c r="I69" s="2">
        <f t="shared" si="3"/>
        <v>39569</v>
      </c>
      <c r="J69" t="str">
        <f t="shared" si="4"/>
        <v>Q2</v>
      </c>
      <c r="K69" s="3">
        <f t="shared" si="5"/>
        <v>1.5</v>
      </c>
    </row>
    <row r="70" spans="1:11">
      <c r="A70">
        <v>69</v>
      </c>
      <c r="B70" s="1">
        <v>39597</v>
      </c>
      <c r="C70" t="s">
        <v>14</v>
      </c>
      <c r="D70" t="s">
        <v>9</v>
      </c>
      <c r="E70" t="s">
        <v>16</v>
      </c>
      <c r="F70">
        <v>2</v>
      </c>
      <c r="G70" s="3">
        <v>2500</v>
      </c>
      <c r="H70" s="3">
        <v>5000</v>
      </c>
      <c r="I70" s="2">
        <f t="shared" si="3"/>
        <v>39569</v>
      </c>
      <c r="J70" t="str">
        <f t="shared" si="4"/>
        <v>Q2</v>
      </c>
      <c r="K70" s="3">
        <f t="shared" si="5"/>
        <v>150</v>
      </c>
    </row>
    <row r="71" spans="1:11">
      <c r="A71">
        <v>70</v>
      </c>
      <c r="B71" s="1">
        <v>39598</v>
      </c>
      <c r="C71" t="s">
        <v>8</v>
      </c>
      <c r="D71" t="s">
        <v>18</v>
      </c>
      <c r="E71" t="s">
        <v>10</v>
      </c>
      <c r="F71">
        <v>5</v>
      </c>
      <c r="G71" s="3">
        <v>700</v>
      </c>
      <c r="H71" s="3">
        <v>3500</v>
      </c>
      <c r="I71" s="2">
        <f t="shared" si="3"/>
        <v>39569</v>
      </c>
      <c r="J71" t="str">
        <f t="shared" si="4"/>
        <v>Q2</v>
      </c>
      <c r="K71" s="3">
        <f t="shared" si="5"/>
        <v>105</v>
      </c>
    </row>
    <row r="72" spans="1:11">
      <c r="A72">
        <v>71</v>
      </c>
      <c r="B72" s="1">
        <v>39598</v>
      </c>
      <c r="C72" t="s">
        <v>17</v>
      </c>
      <c r="D72" t="s">
        <v>12</v>
      </c>
      <c r="E72" t="s">
        <v>19</v>
      </c>
      <c r="F72">
        <v>2</v>
      </c>
      <c r="G72" s="3">
        <v>500</v>
      </c>
      <c r="H72" s="3">
        <v>1000</v>
      </c>
      <c r="I72" s="2">
        <f t="shared" si="3"/>
        <v>39569</v>
      </c>
      <c r="J72" t="str">
        <f t="shared" si="4"/>
        <v>Q2</v>
      </c>
      <c r="K72" s="3">
        <f t="shared" si="5"/>
        <v>30</v>
      </c>
    </row>
    <row r="73" spans="1:11">
      <c r="A73">
        <v>72</v>
      </c>
      <c r="B73" s="1">
        <v>39600</v>
      </c>
      <c r="C73" t="s">
        <v>17</v>
      </c>
      <c r="D73" t="s">
        <v>9</v>
      </c>
      <c r="E73" t="s">
        <v>19</v>
      </c>
      <c r="F73">
        <v>15</v>
      </c>
      <c r="G73" s="3">
        <v>500</v>
      </c>
      <c r="H73" s="3">
        <v>7500</v>
      </c>
      <c r="I73" s="2">
        <f t="shared" si="3"/>
        <v>39600</v>
      </c>
      <c r="J73" t="str">
        <f t="shared" si="4"/>
        <v>Q2</v>
      </c>
      <c r="K73" s="3">
        <f t="shared" si="5"/>
        <v>225</v>
      </c>
    </row>
    <row r="74" spans="1:11">
      <c r="A74">
        <v>73</v>
      </c>
      <c r="B74" s="1">
        <v>39600</v>
      </c>
      <c r="C74" t="s">
        <v>17</v>
      </c>
      <c r="D74" t="s">
        <v>12</v>
      </c>
      <c r="E74" t="s">
        <v>19</v>
      </c>
      <c r="F74">
        <v>15</v>
      </c>
      <c r="G74" s="3">
        <v>500</v>
      </c>
      <c r="H74" s="3">
        <v>7500</v>
      </c>
      <c r="I74" s="2">
        <f t="shared" si="3"/>
        <v>39600</v>
      </c>
      <c r="J74" t="str">
        <f t="shared" si="4"/>
        <v>Q2</v>
      </c>
      <c r="K74" s="3">
        <f t="shared" si="5"/>
        <v>225</v>
      </c>
    </row>
    <row r="75" spans="1:11">
      <c r="A75">
        <v>74</v>
      </c>
      <c r="B75" s="1">
        <v>39601</v>
      </c>
      <c r="C75" t="s">
        <v>14</v>
      </c>
      <c r="D75" t="s">
        <v>15</v>
      </c>
      <c r="E75" t="s">
        <v>16</v>
      </c>
      <c r="F75">
        <v>16</v>
      </c>
      <c r="G75" s="3">
        <v>2500</v>
      </c>
      <c r="H75" s="3">
        <v>40000</v>
      </c>
      <c r="I75" s="2">
        <f t="shared" si="3"/>
        <v>39600</v>
      </c>
      <c r="J75" t="str">
        <f t="shared" si="4"/>
        <v>Q2</v>
      </c>
      <c r="K75" s="3">
        <f t="shared" si="5"/>
        <v>1200</v>
      </c>
    </row>
    <row r="76" spans="1:11">
      <c r="A76">
        <v>75</v>
      </c>
      <c r="B76" s="1">
        <v>39603</v>
      </c>
      <c r="C76" t="s">
        <v>11</v>
      </c>
      <c r="D76" t="s">
        <v>18</v>
      </c>
      <c r="E76" t="s">
        <v>13</v>
      </c>
      <c r="F76">
        <v>17</v>
      </c>
      <c r="G76" s="3">
        <v>25</v>
      </c>
      <c r="H76" s="3">
        <v>425</v>
      </c>
      <c r="I76" s="2">
        <f t="shared" si="3"/>
        <v>39600</v>
      </c>
      <c r="J76" t="str">
        <f t="shared" si="4"/>
        <v>Q2</v>
      </c>
      <c r="K76" s="3">
        <f t="shared" si="5"/>
        <v>12.75</v>
      </c>
    </row>
    <row r="77" spans="1:11">
      <c r="A77">
        <v>76</v>
      </c>
      <c r="B77" s="1">
        <v>39604</v>
      </c>
      <c r="C77" t="s">
        <v>11</v>
      </c>
      <c r="D77" t="s">
        <v>12</v>
      </c>
      <c r="E77" t="s">
        <v>13</v>
      </c>
      <c r="F77">
        <v>4</v>
      </c>
      <c r="G77" s="3">
        <v>25</v>
      </c>
      <c r="H77" s="3">
        <v>100</v>
      </c>
      <c r="I77" s="2">
        <f t="shared" si="3"/>
        <v>39600</v>
      </c>
      <c r="J77" t="str">
        <f t="shared" si="4"/>
        <v>Q2</v>
      </c>
      <c r="K77" s="3">
        <f t="shared" si="5"/>
        <v>3</v>
      </c>
    </row>
    <row r="78" spans="1:11">
      <c r="A78">
        <v>77</v>
      </c>
      <c r="B78" s="1">
        <v>39608</v>
      </c>
      <c r="C78" t="s">
        <v>14</v>
      </c>
      <c r="D78" t="s">
        <v>9</v>
      </c>
      <c r="E78" t="s">
        <v>16</v>
      </c>
      <c r="F78">
        <v>7</v>
      </c>
      <c r="G78" s="3">
        <v>2500</v>
      </c>
      <c r="H78" s="3">
        <v>17500</v>
      </c>
      <c r="I78" s="2">
        <f t="shared" si="3"/>
        <v>39600</v>
      </c>
      <c r="J78" t="str">
        <f t="shared" si="4"/>
        <v>Q2</v>
      </c>
      <c r="K78" s="3">
        <f t="shared" si="5"/>
        <v>525</v>
      </c>
    </row>
    <row r="79" spans="1:11">
      <c r="A79">
        <v>78</v>
      </c>
      <c r="B79" s="1">
        <v>39609</v>
      </c>
      <c r="C79" t="s">
        <v>11</v>
      </c>
      <c r="D79" t="s">
        <v>18</v>
      </c>
      <c r="E79" t="s">
        <v>19</v>
      </c>
      <c r="F79">
        <v>14</v>
      </c>
      <c r="G79" s="3">
        <v>500</v>
      </c>
      <c r="H79" s="3">
        <v>7000</v>
      </c>
      <c r="I79" s="2">
        <f t="shared" si="3"/>
        <v>39600</v>
      </c>
      <c r="J79" t="str">
        <f t="shared" si="4"/>
        <v>Q2</v>
      </c>
      <c r="K79" s="3">
        <f t="shared" si="5"/>
        <v>210</v>
      </c>
    </row>
    <row r="80" spans="1:11">
      <c r="A80">
        <v>79</v>
      </c>
      <c r="B80" s="1">
        <v>39610</v>
      </c>
      <c r="C80" t="s">
        <v>11</v>
      </c>
      <c r="D80" t="s">
        <v>15</v>
      </c>
      <c r="E80" t="s">
        <v>13</v>
      </c>
      <c r="F80">
        <v>18</v>
      </c>
      <c r="G80" s="3">
        <v>25</v>
      </c>
      <c r="H80" s="3">
        <v>450</v>
      </c>
      <c r="I80" s="2">
        <f t="shared" si="3"/>
        <v>39600</v>
      </c>
      <c r="J80" t="str">
        <f t="shared" si="4"/>
        <v>Q2</v>
      </c>
      <c r="K80" s="3">
        <f t="shared" si="5"/>
        <v>13.5</v>
      </c>
    </row>
    <row r="81" spans="1:11">
      <c r="A81">
        <v>80</v>
      </c>
      <c r="B81" s="1">
        <v>39612</v>
      </c>
      <c r="C81" t="s">
        <v>11</v>
      </c>
      <c r="D81" t="s">
        <v>9</v>
      </c>
      <c r="E81" t="s">
        <v>13</v>
      </c>
      <c r="F81">
        <v>2</v>
      </c>
      <c r="G81" s="3">
        <v>25</v>
      </c>
      <c r="H81" s="3">
        <v>50</v>
      </c>
      <c r="I81" s="2">
        <f t="shared" si="3"/>
        <v>39600</v>
      </c>
      <c r="J81" t="str">
        <f t="shared" si="4"/>
        <v>Q2</v>
      </c>
      <c r="K81" s="3">
        <f t="shared" si="5"/>
        <v>1.5</v>
      </c>
    </row>
    <row r="82" spans="1:11">
      <c r="A82">
        <v>81</v>
      </c>
      <c r="B82" s="1">
        <v>39613</v>
      </c>
      <c r="C82" t="s">
        <v>14</v>
      </c>
      <c r="D82" t="s">
        <v>15</v>
      </c>
      <c r="E82" t="s">
        <v>16</v>
      </c>
      <c r="F82">
        <v>2</v>
      </c>
      <c r="G82" s="3">
        <v>2500</v>
      </c>
      <c r="H82" s="3">
        <v>5000</v>
      </c>
      <c r="I82" s="2">
        <f t="shared" si="3"/>
        <v>39600</v>
      </c>
      <c r="J82" t="str">
        <f t="shared" si="4"/>
        <v>Q2</v>
      </c>
      <c r="K82" s="3">
        <f t="shared" si="5"/>
        <v>150</v>
      </c>
    </row>
    <row r="83" spans="1:11">
      <c r="A83">
        <v>82</v>
      </c>
      <c r="B83" s="1">
        <v>39614</v>
      </c>
      <c r="C83" t="s">
        <v>14</v>
      </c>
      <c r="D83" t="s">
        <v>18</v>
      </c>
      <c r="E83" t="s">
        <v>16</v>
      </c>
      <c r="F83">
        <v>8</v>
      </c>
      <c r="G83" s="3">
        <v>2500</v>
      </c>
      <c r="H83" s="3">
        <v>20000</v>
      </c>
      <c r="I83" s="2">
        <f t="shared" si="3"/>
        <v>39600</v>
      </c>
      <c r="J83" t="str">
        <f t="shared" si="4"/>
        <v>Q2</v>
      </c>
      <c r="K83" s="3">
        <f t="shared" si="5"/>
        <v>600</v>
      </c>
    </row>
    <row r="84" spans="1:11">
      <c r="A84">
        <v>83</v>
      </c>
      <c r="B84" s="1">
        <v>39614</v>
      </c>
      <c r="C84" t="s">
        <v>14</v>
      </c>
      <c r="D84" t="s">
        <v>18</v>
      </c>
      <c r="E84" t="s">
        <v>16</v>
      </c>
      <c r="F84">
        <v>5</v>
      </c>
      <c r="G84" s="3">
        <v>2500</v>
      </c>
      <c r="H84" s="3">
        <v>12500</v>
      </c>
      <c r="I84" s="2">
        <f t="shared" si="3"/>
        <v>39600</v>
      </c>
      <c r="J84" t="str">
        <f t="shared" si="4"/>
        <v>Q2</v>
      </c>
      <c r="K84" s="3">
        <f t="shared" si="5"/>
        <v>375</v>
      </c>
    </row>
    <row r="85" spans="1:11">
      <c r="A85">
        <v>84</v>
      </c>
      <c r="B85" s="1">
        <v>39615</v>
      </c>
      <c r="C85" t="s">
        <v>11</v>
      </c>
      <c r="D85" t="s">
        <v>9</v>
      </c>
      <c r="E85" t="s">
        <v>10</v>
      </c>
      <c r="F85">
        <v>19</v>
      </c>
      <c r="G85" s="3">
        <v>700</v>
      </c>
      <c r="H85" s="3">
        <v>13300</v>
      </c>
      <c r="I85" s="2">
        <f t="shared" si="3"/>
        <v>39600</v>
      </c>
      <c r="J85" t="str">
        <f t="shared" si="4"/>
        <v>Q2</v>
      </c>
      <c r="K85" s="3">
        <f t="shared" si="5"/>
        <v>399</v>
      </c>
    </row>
    <row r="86" spans="1:11">
      <c r="A86">
        <v>85</v>
      </c>
      <c r="B86" s="1">
        <v>39615</v>
      </c>
      <c r="C86" t="s">
        <v>11</v>
      </c>
      <c r="D86" t="s">
        <v>18</v>
      </c>
      <c r="E86" t="s">
        <v>10</v>
      </c>
      <c r="F86">
        <v>14</v>
      </c>
      <c r="G86" s="3">
        <v>700</v>
      </c>
      <c r="H86" s="3">
        <v>9800</v>
      </c>
      <c r="I86" s="2">
        <f t="shared" si="3"/>
        <v>39600</v>
      </c>
      <c r="J86" t="str">
        <f t="shared" si="4"/>
        <v>Q2</v>
      </c>
      <c r="K86" s="3">
        <f t="shared" si="5"/>
        <v>294</v>
      </c>
    </row>
    <row r="87" spans="1:11">
      <c r="A87">
        <v>86</v>
      </c>
      <c r="B87" s="1">
        <v>39615</v>
      </c>
      <c r="C87" t="s">
        <v>17</v>
      </c>
      <c r="D87" t="s">
        <v>15</v>
      </c>
      <c r="E87" t="s">
        <v>19</v>
      </c>
      <c r="F87">
        <v>10</v>
      </c>
      <c r="G87" s="3">
        <v>500</v>
      </c>
      <c r="H87" s="3">
        <v>5000</v>
      </c>
      <c r="I87" s="2">
        <f t="shared" si="3"/>
        <v>39600</v>
      </c>
      <c r="J87" t="str">
        <f t="shared" si="4"/>
        <v>Q2</v>
      </c>
      <c r="K87" s="3">
        <f t="shared" si="5"/>
        <v>150</v>
      </c>
    </row>
    <row r="88" spans="1:11">
      <c r="A88">
        <v>87</v>
      </c>
      <c r="B88" s="1">
        <v>39619</v>
      </c>
      <c r="C88" t="s">
        <v>17</v>
      </c>
      <c r="D88" t="s">
        <v>9</v>
      </c>
      <c r="E88" t="s">
        <v>19</v>
      </c>
      <c r="F88">
        <v>18</v>
      </c>
      <c r="G88" s="3">
        <v>500</v>
      </c>
      <c r="H88" s="3">
        <v>9000</v>
      </c>
      <c r="I88" s="2">
        <f t="shared" si="3"/>
        <v>39600</v>
      </c>
      <c r="J88" t="str">
        <f t="shared" si="4"/>
        <v>Q2</v>
      </c>
      <c r="K88" s="3">
        <f t="shared" si="5"/>
        <v>270</v>
      </c>
    </row>
    <row r="89" spans="1:11">
      <c r="A89">
        <v>88</v>
      </c>
      <c r="B89" s="1">
        <v>39620</v>
      </c>
      <c r="C89" t="s">
        <v>17</v>
      </c>
      <c r="D89" t="s">
        <v>9</v>
      </c>
      <c r="E89" t="s">
        <v>19</v>
      </c>
      <c r="F89">
        <v>18</v>
      </c>
      <c r="G89" s="3">
        <v>500</v>
      </c>
      <c r="H89" s="3">
        <v>9000</v>
      </c>
      <c r="I89" s="2">
        <f t="shared" si="3"/>
        <v>39600</v>
      </c>
      <c r="J89" t="str">
        <f t="shared" si="4"/>
        <v>Q2</v>
      </c>
      <c r="K89" s="3">
        <f t="shared" si="5"/>
        <v>270</v>
      </c>
    </row>
    <row r="90" spans="1:11">
      <c r="A90">
        <v>89</v>
      </c>
      <c r="B90" s="1">
        <v>39624</v>
      </c>
      <c r="C90" t="s">
        <v>11</v>
      </c>
      <c r="D90" t="s">
        <v>9</v>
      </c>
      <c r="E90" t="s">
        <v>13</v>
      </c>
      <c r="F90">
        <v>9</v>
      </c>
      <c r="G90" s="3">
        <v>25</v>
      </c>
      <c r="H90" s="3">
        <v>225</v>
      </c>
      <c r="I90" s="2">
        <f t="shared" si="3"/>
        <v>39600</v>
      </c>
      <c r="J90" t="str">
        <f t="shared" si="4"/>
        <v>Q2</v>
      </c>
      <c r="K90" s="3">
        <f t="shared" si="5"/>
        <v>6.75</v>
      </c>
    </row>
    <row r="91" spans="1:11">
      <c r="A91">
        <v>90</v>
      </c>
      <c r="B91" s="1">
        <v>39624</v>
      </c>
      <c r="C91" t="s">
        <v>8</v>
      </c>
      <c r="D91" t="s">
        <v>18</v>
      </c>
      <c r="E91" t="s">
        <v>10</v>
      </c>
      <c r="F91">
        <v>10</v>
      </c>
      <c r="G91" s="3">
        <v>700</v>
      </c>
      <c r="H91" s="3">
        <v>7000</v>
      </c>
      <c r="I91" s="2">
        <f t="shared" si="3"/>
        <v>39600</v>
      </c>
      <c r="J91" t="str">
        <f t="shared" si="4"/>
        <v>Q2</v>
      </c>
      <c r="K91" s="3">
        <f t="shared" si="5"/>
        <v>210</v>
      </c>
    </row>
    <row r="92" spans="1:11">
      <c r="A92">
        <v>91</v>
      </c>
      <c r="B92" s="1">
        <v>39626</v>
      </c>
      <c r="C92" t="s">
        <v>17</v>
      </c>
      <c r="D92" t="s">
        <v>9</v>
      </c>
      <c r="E92" t="s">
        <v>19</v>
      </c>
      <c r="F92">
        <v>5</v>
      </c>
      <c r="G92" s="3">
        <v>500</v>
      </c>
      <c r="H92" s="3">
        <v>2500</v>
      </c>
      <c r="I92" s="2">
        <f t="shared" si="3"/>
        <v>39600</v>
      </c>
      <c r="J92" t="str">
        <f t="shared" si="4"/>
        <v>Q2</v>
      </c>
      <c r="K92" s="3">
        <f t="shared" si="5"/>
        <v>75</v>
      </c>
    </row>
    <row r="93" spans="1:11">
      <c r="A93">
        <v>92</v>
      </c>
      <c r="B93" s="1">
        <v>39630</v>
      </c>
      <c r="C93" t="s">
        <v>14</v>
      </c>
      <c r="D93" t="s">
        <v>18</v>
      </c>
      <c r="E93" t="s">
        <v>16</v>
      </c>
      <c r="F93">
        <v>18</v>
      </c>
      <c r="G93" s="3">
        <v>2500</v>
      </c>
      <c r="H93" s="3">
        <v>45000</v>
      </c>
      <c r="I93" s="2">
        <f t="shared" si="3"/>
        <v>39630</v>
      </c>
      <c r="J93" t="str">
        <f t="shared" si="4"/>
        <v>Q3</v>
      </c>
      <c r="K93" s="3">
        <f t="shared" si="5"/>
        <v>1350</v>
      </c>
    </row>
    <row r="94" spans="1:11">
      <c r="A94">
        <v>93</v>
      </c>
      <c r="B94" s="1">
        <v>39630</v>
      </c>
      <c r="C94" t="s">
        <v>8</v>
      </c>
      <c r="D94" t="s">
        <v>9</v>
      </c>
      <c r="E94" t="s">
        <v>10</v>
      </c>
      <c r="F94">
        <v>11</v>
      </c>
      <c r="G94" s="3">
        <v>700</v>
      </c>
      <c r="H94" s="3">
        <v>7700</v>
      </c>
      <c r="I94" s="2">
        <f t="shared" si="3"/>
        <v>39630</v>
      </c>
      <c r="J94" t="str">
        <f t="shared" si="4"/>
        <v>Q3</v>
      </c>
      <c r="K94" s="3">
        <f t="shared" si="5"/>
        <v>231</v>
      </c>
    </row>
    <row r="95" spans="1:11">
      <c r="A95">
        <v>94</v>
      </c>
      <c r="B95" s="1">
        <v>39632</v>
      </c>
      <c r="C95" t="s">
        <v>8</v>
      </c>
      <c r="D95" t="s">
        <v>12</v>
      </c>
      <c r="E95" t="s">
        <v>10</v>
      </c>
      <c r="F95">
        <v>14</v>
      </c>
      <c r="G95" s="3">
        <v>700</v>
      </c>
      <c r="H95" s="3">
        <v>9800</v>
      </c>
      <c r="I95" s="2">
        <f t="shared" si="3"/>
        <v>39630</v>
      </c>
      <c r="J95" t="str">
        <f t="shared" si="4"/>
        <v>Q3</v>
      </c>
      <c r="K95" s="3">
        <f t="shared" si="5"/>
        <v>294</v>
      </c>
    </row>
    <row r="96" spans="1:11">
      <c r="A96">
        <v>95</v>
      </c>
      <c r="B96" s="1">
        <v>39633</v>
      </c>
      <c r="C96" t="s">
        <v>11</v>
      </c>
      <c r="D96" t="s">
        <v>20</v>
      </c>
      <c r="E96" t="s">
        <v>13</v>
      </c>
      <c r="F96">
        <v>6</v>
      </c>
      <c r="G96" s="3">
        <v>25</v>
      </c>
      <c r="H96" s="3">
        <v>150</v>
      </c>
      <c r="I96" s="2">
        <f t="shared" si="3"/>
        <v>39630</v>
      </c>
      <c r="J96" t="str">
        <f t="shared" si="4"/>
        <v>Q3</v>
      </c>
      <c r="K96" s="3">
        <f t="shared" si="5"/>
        <v>4.5</v>
      </c>
    </row>
    <row r="97" spans="1:11">
      <c r="A97">
        <v>96</v>
      </c>
      <c r="B97" s="1">
        <v>39636</v>
      </c>
      <c r="C97" t="s">
        <v>14</v>
      </c>
      <c r="D97" t="s">
        <v>18</v>
      </c>
      <c r="E97" t="s">
        <v>16</v>
      </c>
      <c r="F97">
        <v>11</v>
      </c>
      <c r="G97" s="3">
        <v>2500</v>
      </c>
      <c r="H97" s="3">
        <v>27500</v>
      </c>
      <c r="I97" s="2">
        <f t="shared" si="3"/>
        <v>39630</v>
      </c>
      <c r="J97" t="str">
        <f t="shared" si="4"/>
        <v>Q3</v>
      </c>
      <c r="K97" s="3">
        <f t="shared" si="5"/>
        <v>825</v>
      </c>
    </row>
    <row r="98" spans="1:11">
      <c r="A98">
        <v>97</v>
      </c>
      <c r="B98" s="1">
        <v>39636</v>
      </c>
      <c r="C98" t="s">
        <v>11</v>
      </c>
      <c r="D98" t="s">
        <v>12</v>
      </c>
      <c r="E98" t="s">
        <v>13</v>
      </c>
      <c r="F98">
        <v>3</v>
      </c>
      <c r="G98" s="3">
        <v>25</v>
      </c>
      <c r="H98" s="3">
        <v>75</v>
      </c>
      <c r="I98" s="2">
        <f t="shared" si="3"/>
        <v>39630</v>
      </c>
      <c r="J98" t="str">
        <f t="shared" si="4"/>
        <v>Q3</v>
      </c>
      <c r="K98" s="3">
        <f t="shared" si="5"/>
        <v>2.25</v>
      </c>
    </row>
    <row r="99" spans="1:11">
      <c r="A99">
        <v>98</v>
      </c>
      <c r="B99" s="1">
        <v>39637</v>
      </c>
      <c r="C99" t="s">
        <v>11</v>
      </c>
      <c r="D99" t="s">
        <v>9</v>
      </c>
      <c r="E99" t="s">
        <v>13</v>
      </c>
      <c r="F99">
        <v>13</v>
      </c>
      <c r="G99" s="3">
        <v>25</v>
      </c>
      <c r="H99" s="3">
        <v>325</v>
      </c>
      <c r="I99" s="2">
        <f t="shared" si="3"/>
        <v>39630</v>
      </c>
      <c r="J99" t="str">
        <f t="shared" si="4"/>
        <v>Q3</v>
      </c>
      <c r="K99" s="3">
        <f t="shared" si="5"/>
        <v>9.75</v>
      </c>
    </row>
    <row r="100" spans="1:11">
      <c r="A100">
        <v>99</v>
      </c>
      <c r="B100" s="1">
        <v>39638</v>
      </c>
      <c r="C100" t="s">
        <v>11</v>
      </c>
      <c r="D100" t="s">
        <v>9</v>
      </c>
      <c r="E100" t="s">
        <v>13</v>
      </c>
      <c r="F100">
        <v>15</v>
      </c>
      <c r="G100" s="3">
        <v>25</v>
      </c>
      <c r="H100" s="3">
        <v>375</v>
      </c>
      <c r="I100" s="2">
        <f t="shared" si="3"/>
        <v>39630</v>
      </c>
      <c r="J100" t="str">
        <f t="shared" si="4"/>
        <v>Q3</v>
      </c>
      <c r="K100" s="3">
        <f t="shared" si="5"/>
        <v>11.25</v>
      </c>
    </row>
    <row r="101" spans="1:11">
      <c r="A101">
        <v>100</v>
      </c>
      <c r="B101" s="1">
        <v>39638</v>
      </c>
      <c r="C101" t="s">
        <v>14</v>
      </c>
      <c r="D101" t="s">
        <v>12</v>
      </c>
      <c r="E101" t="s">
        <v>16</v>
      </c>
      <c r="F101">
        <v>14</v>
      </c>
      <c r="G101" s="3">
        <v>2500</v>
      </c>
      <c r="H101" s="3">
        <v>35000</v>
      </c>
      <c r="I101" s="2">
        <f t="shared" si="3"/>
        <v>39630</v>
      </c>
      <c r="J101" t="str">
        <f t="shared" si="4"/>
        <v>Q3</v>
      </c>
      <c r="K101" s="3">
        <f t="shared" si="5"/>
        <v>1050</v>
      </c>
    </row>
    <row r="102" spans="1:11">
      <c r="A102">
        <v>101</v>
      </c>
      <c r="B102" s="1">
        <v>39640</v>
      </c>
      <c r="C102" t="s">
        <v>11</v>
      </c>
      <c r="D102" t="s">
        <v>9</v>
      </c>
      <c r="E102" t="s">
        <v>10</v>
      </c>
      <c r="F102">
        <v>6</v>
      </c>
      <c r="G102" s="3">
        <v>700</v>
      </c>
      <c r="H102" s="3">
        <v>4200</v>
      </c>
      <c r="I102" s="2">
        <f t="shared" si="3"/>
        <v>39630</v>
      </c>
      <c r="J102" t="str">
        <f t="shared" si="4"/>
        <v>Q3</v>
      </c>
      <c r="K102" s="3">
        <f t="shared" si="5"/>
        <v>126</v>
      </c>
    </row>
    <row r="103" spans="1:11">
      <c r="A103">
        <v>102</v>
      </c>
      <c r="B103" s="1">
        <v>39640</v>
      </c>
      <c r="C103" t="s">
        <v>8</v>
      </c>
      <c r="D103" t="s">
        <v>9</v>
      </c>
      <c r="E103" t="s">
        <v>10</v>
      </c>
      <c r="F103">
        <v>3</v>
      </c>
      <c r="G103" s="3">
        <v>700</v>
      </c>
      <c r="H103" s="3">
        <v>2100</v>
      </c>
      <c r="I103" s="2">
        <f t="shared" si="3"/>
        <v>39630</v>
      </c>
      <c r="J103" t="str">
        <f t="shared" si="4"/>
        <v>Q3</v>
      </c>
      <c r="K103" s="3">
        <f t="shared" si="5"/>
        <v>63</v>
      </c>
    </row>
    <row r="104" spans="1:11">
      <c r="A104">
        <v>103</v>
      </c>
      <c r="B104" s="1">
        <v>39643</v>
      </c>
      <c r="C104" t="s">
        <v>11</v>
      </c>
      <c r="D104" t="s">
        <v>18</v>
      </c>
      <c r="E104" t="s">
        <v>10</v>
      </c>
      <c r="F104">
        <v>19</v>
      </c>
      <c r="G104" s="3">
        <v>700</v>
      </c>
      <c r="H104" s="3">
        <v>13300</v>
      </c>
      <c r="I104" s="2">
        <f t="shared" si="3"/>
        <v>39630</v>
      </c>
      <c r="J104" t="str">
        <f t="shared" si="4"/>
        <v>Q3</v>
      </c>
      <c r="K104" s="3">
        <f t="shared" si="5"/>
        <v>399</v>
      </c>
    </row>
    <row r="105" spans="1:11">
      <c r="A105">
        <v>104</v>
      </c>
      <c r="B105" s="1">
        <v>39643</v>
      </c>
      <c r="C105" t="s">
        <v>8</v>
      </c>
      <c r="D105" t="s">
        <v>20</v>
      </c>
      <c r="E105" t="s">
        <v>10</v>
      </c>
      <c r="F105">
        <v>18</v>
      </c>
      <c r="G105" s="3">
        <v>700</v>
      </c>
      <c r="H105" s="3">
        <v>12600</v>
      </c>
      <c r="I105" s="2">
        <f t="shared" si="3"/>
        <v>39630</v>
      </c>
      <c r="J105" t="str">
        <f t="shared" si="4"/>
        <v>Q3</v>
      </c>
      <c r="K105" s="3">
        <f t="shared" si="5"/>
        <v>378</v>
      </c>
    </row>
    <row r="106" spans="1:11">
      <c r="A106">
        <v>105</v>
      </c>
      <c r="B106" s="1">
        <v>39647</v>
      </c>
      <c r="C106" t="s">
        <v>17</v>
      </c>
      <c r="D106" t="s">
        <v>18</v>
      </c>
      <c r="E106" t="s">
        <v>19</v>
      </c>
      <c r="F106">
        <v>19</v>
      </c>
      <c r="G106" s="3">
        <v>500</v>
      </c>
      <c r="H106" s="3">
        <v>9500</v>
      </c>
      <c r="I106" s="2">
        <f t="shared" si="3"/>
        <v>39630</v>
      </c>
      <c r="J106" t="str">
        <f t="shared" si="4"/>
        <v>Q3</v>
      </c>
      <c r="K106" s="3">
        <f t="shared" si="5"/>
        <v>285</v>
      </c>
    </row>
    <row r="107" spans="1:11">
      <c r="A107">
        <v>106</v>
      </c>
      <c r="B107" s="1">
        <v>39647</v>
      </c>
      <c r="C107" t="s">
        <v>14</v>
      </c>
      <c r="D107" t="s">
        <v>18</v>
      </c>
      <c r="E107" t="s">
        <v>16</v>
      </c>
      <c r="F107">
        <v>4</v>
      </c>
      <c r="G107" s="3">
        <v>2500</v>
      </c>
      <c r="H107" s="3">
        <v>10000</v>
      </c>
      <c r="I107" s="2">
        <f t="shared" si="3"/>
        <v>39630</v>
      </c>
      <c r="J107" t="str">
        <f t="shared" si="4"/>
        <v>Q3</v>
      </c>
      <c r="K107" s="3">
        <f t="shared" si="5"/>
        <v>300</v>
      </c>
    </row>
    <row r="108" spans="1:11">
      <c r="A108">
        <v>107</v>
      </c>
      <c r="B108" s="1">
        <v>39649</v>
      </c>
      <c r="C108" t="s">
        <v>8</v>
      </c>
      <c r="D108" t="s">
        <v>12</v>
      </c>
      <c r="E108" t="s">
        <v>10</v>
      </c>
      <c r="F108">
        <v>13</v>
      </c>
      <c r="G108" s="3">
        <v>700</v>
      </c>
      <c r="H108" s="3">
        <v>9100</v>
      </c>
      <c r="I108" s="2">
        <f t="shared" si="3"/>
        <v>39630</v>
      </c>
      <c r="J108" t="str">
        <f t="shared" si="4"/>
        <v>Q3</v>
      </c>
      <c r="K108" s="3">
        <f t="shared" si="5"/>
        <v>273</v>
      </c>
    </row>
    <row r="109" spans="1:11">
      <c r="A109">
        <v>108</v>
      </c>
      <c r="B109" s="1">
        <v>39649</v>
      </c>
      <c r="C109" t="s">
        <v>14</v>
      </c>
      <c r="D109" t="s">
        <v>9</v>
      </c>
      <c r="E109" t="s">
        <v>16</v>
      </c>
      <c r="F109">
        <v>16</v>
      </c>
      <c r="G109" s="3">
        <v>2500</v>
      </c>
      <c r="H109" s="3">
        <v>40000</v>
      </c>
      <c r="I109" s="2">
        <f t="shared" si="3"/>
        <v>39630</v>
      </c>
      <c r="J109" t="str">
        <f t="shared" si="4"/>
        <v>Q3</v>
      </c>
      <c r="K109" s="3">
        <f t="shared" si="5"/>
        <v>1200</v>
      </c>
    </row>
    <row r="110" spans="1:11">
      <c r="A110">
        <v>109</v>
      </c>
      <c r="B110" s="1">
        <v>39652</v>
      </c>
      <c r="C110" t="s">
        <v>11</v>
      </c>
      <c r="D110" t="s">
        <v>18</v>
      </c>
      <c r="E110" t="s">
        <v>10</v>
      </c>
      <c r="F110">
        <v>16</v>
      </c>
      <c r="G110" s="3">
        <v>700</v>
      </c>
      <c r="H110" s="3">
        <v>11200</v>
      </c>
      <c r="I110" s="2">
        <f t="shared" si="3"/>
        <v>39630</v>
      </c>
      <c r="J110" t="str">
        <f t="shared" si="4"/>
        <v>Q3</v>
      </c>
      <c r="K110" s="3">
        <f t="shared" si="5"/>
        <v>336</v>
      </c>
    </row>
    <row r="111" spans="1:11">
      <c r="A111">
        <v>110</v>
      </c>
      <c r="B111" s="1">
        <v>39656</v>
      </c>
      <c r="C111" t="s">
        <v>11</v>
      </c>
      <c r="D111" t="s">
        <v>9</v>
      </c>
      <c r="E111" t="s">
        <v>13</v>
      </c>
      <c r="F111">
        <v>2</v>
      </c>
      <c r="G111" s="3">
        <v>25</v>
      </c>
      <c r="H111" s="3">
        <v>50</v>
      </c>
      <c r="I111" s="2">
        <f t="shared" si="3"/>
        <v>39630</v>
      </c>
      <c r="J111" t="str">
        <f t="shared" si="4"/>
        <v>Q3</v>
      </c>
      <c r="K111" s="3">
        <f t="shared" si="5"/>
        <v>1.5</v>
      </c>
    </row>
    <row r="112" spans="1:11">
      <c r="A112">
        <v>111</v>
      </c>
      <c r="B112" s="1">
        <v>39657</v>
      </c>
      <c r="C112" t="s">
        <v>11</v>
      </c>
      <c r="D112" t="s">
        <v>9</v>
      </c>
      <c r="E112" t="s">
        <v>10</v>
      </c>
      <c r="F112">
        <v>17</v>
      </c>
      <c r="G112" s="3">
        <v>700</v>
      </c>
      <c r="H112" s="3">
        <v>11900</v>
      </c>
      <c r="I112" s="2">
        <f t="shared" si="3"/>
        <v>39630</v>
      </c>
      <c r="J112" t="str">
        <f t="shared" si="4"/>
        <v>Q3</v>
      </c>
      <c r="K112" s="3">
        <f t="shared" si="5"/>
        <v>357</v>
      </c>
    </row>
    <row r="113" spans="1:11">
      <c r="A113">
        <v>112</v>
      </c>
      <c r="B113" s="1">
        <v>39658</v>
      </c>
      <c r="C113" t="s">
        <v>11</v>
      </c>
      <c r="D113" t="s">
        <v>9</v>
      </c>
      <c r="E113" t="s">
        <v>19</v>
      </c>
      <c r="F113">
        <v>4</v>
      </c>
      <c r="G113" s="3">
        <v>500</v>
      </c>
      <c r="H113" s="3">
        <v>2000</v>
      </c>
      <c r="I113" s="2">
        <f t="shared" si="3"/>
        <v>39630</v>
      </c>
      <c r="J113" t="str">
        <f t="shared" si="4"/>
        <v>Q3</v>
      </c>
      <c r="K113" s="3">
        <f t="shared" si="5"/>
        <v>60</v>
      </c>
    </row>
    <row r="114" spans="1:11">
      <c r="A114">
        <v>113</v>
      </c>
      <c r="B114" s="1">
        <v>39660</v>
      </c>
      <c r="C114" t="s">
        <v>11</v>
      </c>
      <c r="D114" t="s">
        <v>9</v>
      </c>
      <c r="E114" t="s">
        <v>19</v>
      </c>
      <c r="F114">
        <v>20</v>
      </c>
      <c r="G114" s="3">
        <v>500</v>
      </c>
      <c r="H114" s="3">
        <v>10000</v>
      </c>
      <c r="I114" s="2">
        <f t="shared" si="3"/>
        <v>39630</v>
      </c>
      <c r="J114" t="str">
        <f t="shared" si="4"/>
        <v>Q3</v>
      </c>
      <c r="K114" s="3">
        <f t="shared" si="5"/>
        <v>300</v>
      </c>
    </row>
    <row r="115" spans="1:11">
      <c r="A115">
        <v>114</v>
      </c>
      <c r="B115" s="1">
        <v>39661</v>
      </c>
      <c r="C115" t="s">
        <v>11</v>
      </c>
      <c r="D115" t="s">
        <v>9</v>
      </c>
      <c r="E115" t="s">
        <v>19</v>
      </c>
      <c r="F115">
        <v>20</v>
      </c>
      <c r="G115" s="3">
        <v>500</v>
      </c>
      <c r="H115" s="3">
        <v>10000</v>
      </c>
      <c r="I115" s="2">
        <f t="shared" si="3"/>
        <v>39661</v>
      </c>
      <c r="J115" t="str">
        <f t="shared" si="4"/>
        <v>Q3</v>
      </c>
      <c r="K115" s="3">
        <f t="shared" si="5"/>
        <v>300</v>
      </c>
    </row>
    <row r="116" spans="1:11">
      <c r="A116">
        <v>115</v>
      </c>
      <c r="B116" s="1">
        <v>39665</v>
      </c>
      <c r="C116" t="s">
        <v>11</v>
      </c>
      <c r="D116" t="s">
        <v>18</v>
      </c>
      <c r="E116" t="s">
        <v>13</v>
      </c>
      <c r="F116">
        <v>13</v>
      </c>
      <c r="G116" s="3">
        <v>25</v>
      </c>
      <c r="H116" s="3">
        <v>325</v>
      </c>
      <c r="I116" s="2">
        <f t="shared" si="3"/>
        <v>39661</v>
      </c>
      <c r="J116" t="str">
        <f t="shared" si="4"/>
        <v>Q3</v>
      </c>
      <c r="K116" s="3">
        <f t="shared" si="5"/>
        <v>9.75</v>
      </c>
    </row>
    <row r="117" spans="1:11">
      <c r="A117">
        <v>116</v>
      </c>
      <c r="B117" s="1">
        <v>39665</v>
      </c>
      <c r="C117" t="s">
        <v>17</v>
      </c>
      <c r="D117" t="s">
        <v>20</v>
      </c>
      <c r="E117" t="s">
        <v>19</v>
      </c>
      <c r="F117">
        <v>2</v>
      </c>
      <c r="G117" s="3">
        <v>500</v>
      </c>
      <c r="H117" s="3">
        <v>1000</v>
      </c>
      <c r="I117" s="2">
        <f t="shared" si="3"/>
        <v>39661</v>
      </c>
      <c r="J117" t="str">
        <f t="shared" si="4"/>
        <v>Q3</v>
      </c>
      <c r="K117" s="3">
        <f t="shared" si="5"/>
        <v>30</v>
      </c>
    </row>
    <row r="118" spans="1:11">
      <c r="A118">
        <v>117</v>
      </c>
      <c r="B118" s="1">
        <v>39666</v>
      </c>
      <c r="C118" t="s">
        <v>14</v>
      </c>
      <c r="D118" t="s">
        <v>12</v>
      </c>
      <c r="E118" t="s">
        <v>16</v>
      </c>
      <c r="F118">
        <v>14</v>
      </c>
      <c r="G118" s="3">
        <v>2500</v>
      </c>
      <c r="H118" s="3">
        <v>35000</v>
      </c>
      <c r="I118" s="2">
        <f t="shared" si="3"/>
        <v>39661</v>
      </c>
      <c r="J118" t="str">
        <f t="shared" si="4"/>
        <v>Q3</v>
      </c>
      <c r="K118" s="3">
        <f t="shared" si="5"/>
        <v>1050</v>
      </c>
    </row>
    <row r="119" spans="1:11">
      <c r="A119">
        <v>118</v>
      </c>
      <c r="B119" s="1">
        <v>39667</v>
      </c>
      <c r="C119" t="s">
        <v>11</v>
      </c>
      <c r="D119" t="s">
        <v>9</v>
      </c>
      <c r="E119" t="s">
        <v>13</v>
      </c>
      <c r="F119">
        <v>11</v>
      </c>
      <c r="G119" s="3">
        <v>25</v>
      </c>
      <c r="H119" s="3">
        <v>275</v>
      </c>
      <c r="I119" s="2">
        <f t="shared" si="3"/>
        <v>39661</v>
      </c>
      <c r="J119" t="str">
        <f t="shared" si="4"/>
        <v>Q3</v>
      </c>
      <c r="K119" s="3">
        <f t="shared" si="5"/>
        <v>8.25</v>
      </c>
    </row>
    <row r="120" spans="1:11">
      <c r="A120">
        <v>119</v>
      </c>
      <c r="B120" s="1">
        <v>39672</v>
      </c>
      <c r="C120" t="s">
        <v>17</v>
      </c>
      <c r="D120" t="s">
        <v>9</v>
      </c>
      <c r="E120" t="s">
        <v>10</v>
      </c>
      <c r="F120">
        <v>13</v>
      </c>
      <c r="G120" s="3">
        <v>700</v>
      </c>
      <c r="H120" s="3">
        <v>9100</v>
      </c>
      <c r="I120" s="2">
        <f t="shared" si="3"/>
        <v>39661</v>
      </c>
      <c r="J120" t="str">
        <f t="shared" si="4"/>
        <v>Q3</v>
      </c>
      <c r="K120" s="3">
        <f t="shared" si="5"/>
        <v>273</v>
      </c>
    </row>
    <row r="121" spans="1:11">
      <c r="A121">
        <v>120</v>
      </c>
      <c r="B121" s="1">
        <v>39682</v>
      </c>
      <c r="C121" t="s">
        <v>8</v>
      </c>
      <c r="D121" t="s">
        <v>9</v>
      </c>
      <c r="E121" t="s">
        <v>10</v>
      </c>
      <c r="F121">
        <v>18</v>
      </c>
      <c r="G121" s="3">
        <v>700</v>
      </c>
      <c r="H121" s="3">
        <v>12600</v>
      </c>
      <c r="I121" s="2">
        <f t="shared" si="3"/>
        <v>39661</v>
      </c>
      <c r="J121" t="str">
        <f t="shared" si="4"/>
        <v>Q3</v>
      </c>
      <c r="K121" s="3">
        <f t="shared" si="5"/>
        <v>378</v>
      </c>
    </row>
    <row r="122" spans="1:11">
      <c r="A122">
        <v>121</v>
      </c>
      <c r="B122" s="1">
        <v>39682</v>
      </c>
      <c r="C122" t="s">
        <v>17</v>
      </c>
      <c r="D122" t="s">
        <v>18</v>
      </c>
      <c r="E122" t="s">
        <v>19</v>
      </c>
      <c r="F122">
        <v>10</v>
      </c>
      <c r="G122" s="3">
        <v>500</v>
      </c>
      <c r="H122" s="3">
        <v>5000</v>
      </c>
      <c r="I122" s="2">
        <f t="shared" si="3"/>
        <v>39661</v>
      </c>
      <c r="J122" t="str">
        <f t="shared" si="4"/>
        <v>Q3</v>
      </c>
      <c r="K122" s="3">
        <f t="shared" si="5"/>
        <v>150</v>
      </c>
    </row>
    <row r="123" spans="1:11">
      <c r="A123">
        <v>122</v>
      </c>
      <c r="B123" s="1">
        <v>39683</v>
      </c>
      <c r="C123" t="s">
        <v>8</v>
      </c>
      <c r="D123" t="s">
        <v>18</v>
      </c>
      <c r="E123" t="s">
        <v>10</v>
      </c>
      <c r="F123">
        <v>7</v>
      </c>
      <c r="G123" s="3">
        <v>700</v>
      </c>
      <c r="H123" s="3">
        <v>4900</v>
      </c>
      <c r="I123" s="2">
        <f t="shared" si="3"/>
        <v>39661</v>
      </c>
      <c r="J123" t="str">
        <f t="shared" si="4"/>
        <v>Q3</v>
      </c>
      <c r="K123" s="3">
        <f t="shared" si="5"/>
        <v>147</v>
      </c>
    </row>
    <row r="124" spans="1:11">
      <c r="A124">
        <v>123</v>
      </c>
      <c r="B124" s="1">
        <v>39684</v>
      </c>
      <c r="C124" t="s">
        <v>17</v>
      </c>
      <c r="D124" t="s">
        <v>20</v>
      </c>
      <c r="E124" t="s">
        <v>19</v>
      </c>
      <c r="F124">
        <v>14</v>
      </c>
      <c r="G124" s="3">
        <v>500</v>
      </c>
      <c r="H124" s="3">
        <v>7000</v>
      </c>
      <c r="I124" s="2">
        <f t="shared" si="3"/>
        <v>39661</v>
      </c>
      <c r="J124" t="str">
        <f t="shared" si="4"/>
        <v>Q3</v>
      </c>
      <c r="K124" s="3">
        <f t="shared" si="5"/>
        <v>210</v>
      </c>
    </row>
    <row r="125" spans="1:11">
      <c r="A125">
        <v>124</v>
      </c>
      <c r="B125" s="1">
        <v>39685</v>
      </c>
      <c r="C125" t="s">
        <v>11</v>
      </c>
      <c r="D125" t="s">
        <v>15</v>
      </c>
      <c r="E125" t="s">
        <v>13</v>
      </c>
      <c r="F125">
        <v>12</v>
      </c>
      <c r="G125" s="3">
        <v>25</v>
      </c>
      <c r="H125" s="3">
        <v>300</v>
      </c>
      <c r="I125" s="2">
        <f t="shared" si="3"/>
        <v>39661</v>
      </c>
      <c r="J125" t="str">
        <f t="shared" si="4"/>
        <v>Q3</v>
      </c>
      <c r="K125" s="3">
        <f t="shared" si="5"/>
        <v>9</v>
      </c>
    </row>
    <row r="126" spans="1:11">
      <c r="A126">
        <v>125</v>
      </c>
      <c r="B126" s="1">
        <v>39686</v>
      </c>
      <c r="C126" t="s">
        <v>17</v>
      </c>
      <c r="D126" t="s">
        <v>9</v>
      </c>
      <c r="E126" t="s">
        <v>19</v>
      </c>
      <c r="F126">
        <v>14</v>
      </c>
      <c r="G126" s="3">
        <v>500</v>
      </c>
      <c r="H126" s="3">
        <v>7000</v>
      </c>
      <c r="I126" s="2">
        <f t="shared" si="3"/>
        <v>39661</v>
      </c>
      <c r="J126" t="str">
        <f t="shared" si="4"/>
        <v>Q3</v>
      </c>
      <c r="K126" s="3">
        <f t="shared" si="5"/>
        <v>210</v>
      </c>
    </row>
    <row r="127" spans="1:11">
      <c r="A127">
        <v>126</v>
      </c>
      <c r="B127" s="1">
        <v>39688</v>
      </c>
      <c r="C127" t="s">
        <v>17</v>
      </c>
      <c r="D127" t="s">
        <v>18</v>
      </c>
      <c r="E127" t="s">
        <v>19</v>
      </c>
      <c r="F127">
        <v>16</v>
      </c>
      <c r="G127" s="3">
        <v>500</v>
      </c>
      <c r="H127" s="3">
        <v>8000</v>
      </c>
      <c r="I127" s="2">
        <f t="shared" si="3"/>
        <v>39661</v>
      </c>
      <c r="J127" t="str">
        <f t="shared" si="4"/>
        <v>Q3</v>
      </c>
      <c r="K127" s="3">
        <f t="shared" si="5"/>
        <v>240</v>
      </c>
    </row>
    <row r="128" spans="1:11">
      <c r="A128">
        <v>127</v>
      </c>
      <c r="B128" s="1">
        <v>39693</v>
      </c>
      <c r="C128" t="s">
        <v>14</v>
      </c>
      <c r="D128" t="s">
        <v>12</v>
      </c>
      <c r="E128" t="s">
        <v>16</v>
      </c>
      <c r="F128">
        <v>13</v>
      </c>
      <c r="G128" s="3">
        <v>2500</v>
      </c>
      <c r="H128" s="3">
        <v>32500</v>
      </c>
      <c r="I128" s="2">
        <f t="shared" si="3"/>
        <v>39692</v>
      </c>
      <c r="J128" t="str">
        <f t="shared" si="4"/>
        <v>Q3</v>
      </c>
      <c r="K128" s="3">
        <f t="shared" si="5"/>
        <v>975</v>
      </c>
    </row>
    <row r="129" spans="1:11">
      <c r="A129">
        <v>128</v>
      </c>
      <c r="B129" s="1">
        <v>39697</v>
      </c>
      <c r="C129" t="s">
        <v>17</v>
      </c>
      <c r="D129" t="s">
        <v>9</v>
      </c>
      <c r="E129" t="s">
        <v>19</v>
      </c>
      <c r="F129">
        <v>12</v>
      </c>
      <c r="G129" s="3">
        <v>500</v>
      </c>
      <c r="H129" s="3">
        <v>6000</v>
      </c>
      <c r="I129" s="2">
        <f t="shared" si="3"/>
        <v>39692</v>
      </c>
      <c r="J129" t="str">
        <f t="shared" si="4"/>
        <v>Q3</v>
      </c>
      <c r="K129" s="3">
        <f t="shared" si="5"/>
        <v>180</v>
      </c>
    </row>
    <row r="130" spans="1:11">
      <c r="A130">
        <v>129</v>
      </c>
      <c r="B130" s="1">
        <v>39698</v>
      </c>
      <c r="C130" t="s">
        <v>17</v>
      </c>
      <c r="D130" t="s">
        <v>9</v>
      </c>
      <c r="E130" t="s">
        <v>19</v>
      </c>
      <c r="F130">
        <v>3</v>
      </c>
      <c r="G130" s="3">
        <v>500</v>
      </c>
      <c r="H130" s="3">
        <v>1500</v>
      </c>
      <c r="I130" s="2">
        <f t="shared" si="3"/>
        <v>39692</v>
      </c>
      <c r="J130" t="str">
        <f t="shared" si="4"/>
        <v>Q3</v>
      </c>
      <c r="K130" s="3">
        <f t="shared" si="5"/>
        <v>45</v>
      </c>
    </row>
    <row r="131" spans="1:11">
      <c r="A131">
        <v>130</v>
      </c>
      <c r="B131" s="1">
        <v>39699</v>
      </c>
      <c r="C131" t="s">
        <v>8</v>
      </c>
      <c r="D131" t="s">
        <v>15</v>
      </c>
      <c r="E131" t="s">
        <v>10</v>
      </c>
      <c r="F131">
        <v>9</v>
      </c>
      <c r="G131" s="3">
        <v>700</v>
      </c>
      <c r="H131" s="3">
        <v>6300</v>
      </c>
      <c r="I131" s="2">
        <f t="shared" ref="I131:I194" si="6">DATE(YEAR(B131),MONTH(B131),1)</f>
        <v>39692</v>
      </c>
      <c r="J131" t="str">
        <f t="shared" ref="J131:J194" si="7">"Q"&amp;ROUNDUP(MONTH(B131)/3,0)</f>
        <v>Q3</v>
      </c>
      <c r="K131" s="3">
        <f t="shared" ref="K131:K194" si="8">H131*3%</f>
        <v>189</v>
      </c>
    </row>
    <row r="132" spans="1:11">
      <c r="A132">
        <v>131</v>
      </c>
      <c r="B132" s="1">
        <v>39699</v>
      </c>
      <c r="C132" t="s">
        <v>11</v>
      </c>
      <c r="D132" t="s">
        <v>12</v>
      </c>
      <c r="E132" t="s">
        <v>13</v>
      </c>
      <c r="F132">
        <v>20</v>
      </c>
      <c r="G132" s="3">
        <v>25</v>
      </c>
      <c r="H132" s="3">
        <v>500</v>
      </c>
      <c r="I132" s="2">
        <f t="shared" si="6"/>
        <v>39692</v>
      </c>
      <c r="J132" t="str">
        <f t="shared" si="7"/>
        <v>Q3</v>
      </c>
      <c r="K132" s="3">
        <f t="shared" si="8"/>
        <v>15</v>
      </c>
    </row>
    <row r="133" spans="1:11">
      <c r="A133">
        <v>132</v>
      </c>
      <c r="B133" s="1">
        <v>39701</v>
      </c>
      <c r="C133" t="s">
        <v>17</v>
      </c>
      <c r="D133" t="s">
        <v>18</v>
      </c>
      <c r="E133" t="s">
        <v>19</v>
      </c>
      <c r="F133">
        <v>5</v>
      </c>
      <c r="G133" s="3">
        <v>500</v>
      </c>
      <c r="H133" s="3">
        <v>2500</v>
      </c>
      <c r="I133" s="2">
        <f t="shared" si="6"/>
        <v>39692</v>
      </c>
      <c r="J133" t="str">
        <f t="shared" si="7"/>
        <v>Q3</v>
      </c>
      <c r="K133" s="3">
        <f t="shared" si="8"/>
        <v>75</v>
      </c>
    </row>
    <row r="134" spans="1:11">
      <c r="A134">
        <v>133</v>
      </c>
      <c r="B134" s="1">
        <v>39702</v>
      </c>
      <c r="C134" t="s">
        <v>17</v>
      </c>
      <c r="D134" t="s">
        <v>9</v>
      </c>
      <c r="E134" t="s">
        <v>10</v>
      </c>
      <c r="F134">
        <v>8</v>
      </c>
      <c r="G134" s="3">
        <v>700</v>
      </c>
      <c r="H134" s="3">
        <v>5600</v>
      </c>
      <c r="I134" s="2">
        <f t="shared" si="6"/>
        <v>39692</v>
      </c>
      <c r="J134" t="str">
        <f t="shared" si="7"/>
        <v>Q3</v>
      </c>
      <c r="K134" s="3">
        <f t="shared" si="8"/>
        <v>168</v>
      </c>
    </row>
    <row r="135" spans="1:11">
      <c r="A135">
        <v>134</v>
      </c>
      <c r="B135" s="1">
        <v>39705</v>
      </c>
      <c r="C135" t="s">
        <v>14</v>
      </c>
      <c r="D135" t="s">
        <v>9</v>
      </c>
      <c r="E135" t="s">
        <v>16</v>
      </c>
      <c r="F135">
        <v>11</v>
      </c>
      <c r="G135" s="3">
        <v>2500</v>
      </c>
      <c r="H135" s="3">
        <v>27500</v>
      </c>
      <c r="I135" s="2">
        <f t="shared" si="6"/>
        <v>39692</v>
      </c>
      <c r="J135" t="str">
        <f t="shared" si="7"/>
        <v>Q3</v>
      </c>
      <c r="K135" s="3">
        <f t="shared" si="8"/>
        <v>825</v>
      </c>
    </row>
    <row r="136" spans="1:11">
      <c r="A136">
        <v>135</v>
      </c>
      <c r="B136" s="1">
        <v>39706</v>
      </c>
      <c r="C136" t="s">
        <v>17</v>
      </c>
      <c r="D136" t="s">
        <v>9</v>
      </c>
      <c r="E136" t="s">
        <v>19</v>
      </c>
      <c r="F136">
        <v>10</v>
      </c>
      <c r="G136" s="3">
        <v>500</v>
      </c>
      <c r="H136" s="3">
        <v>5000</v>
      </c>
      <c r="I136" s="2">
        <f t="shared" si="6"/>
        <v>39692</v>
      </c>
      <c r="J136" t="str">
        <f t="shared" si="7"/>
        <v>Q3</v>
      </c>
      <c r="K136" s="3">
        <f t="shared" si="8"/>
        <v>150</v>
      </c>
    </row>
    <row r="137" spans="1:11">
      <c r="A137">
        <v>136</v>
      </c>
      <c r="B137" s="1">
        <v>39708</v>
      </c>
      <c r="C137" t="s">
        <v>11</v>
      </c>
      <c r="D137" t="s">
        <v>18</v>
      </c>
      <c r="E137" t="s">
        <v>19</v>
      </c>
      <c r="F137">
        <v>14</v>
      </c>
      <c r="G137" s="3">
        <v>500</v>
      </c>
      <c r="H137" s="3">
        <v>7000</v>
      </c>
      <c r="I137" s="2">
        <f t="shared" si="6"/>
        <v>39692</v>
      </c>
      <c r="J137" t="str">
        <f t="shared" si="7"/>
        <v>Q3</v>
      </c>
      <c r="K137" s="3">
        <f t="shared" si="8"/>
        <v>210</v>
      </c>
    </row>
    <row r="138" spans="1:11">
      <c r="A138">
        <v>137</v>
      </c>
      <c r="B138" s="1">
        <v>39710</v>
      </c>
      <c r="C138" t="s">
        <v>17</v>
      </c>
      <c r="D138" t="s">
        <v>18</v>
      </c>
      <c r="E138" t="s">
        <v>19</v>
      </c>
      <c r="F138">
        <v>16</v>
      </c>
      <c r="G138" s="3">
        <v>500</v>
      </c>
      <c r="H138" s="3">
        <v>8000</v>
      </c>
      <c r="I138" s="2">
        <f t="shared" si="6"/>
        <v>39692</v>
      </c>
      <c r="J138" t="str">
        <f t="shared" si="7"/>
        <v>Q3</v>
      </c>
      <c r="K138" s="3">
        <f t="shared" si="8"/>
        <v>240</v>
      </c>
    </row>
    <row r="139" spans="1:11">
      <c r="A139">
        <v>138</v>
      </c>
      <c r="B139" s="1">
        <v>39717</v>
      </c>
      <c r="C139" t="s">
        <v>14</v>
      </c>
      <c r="D139" t="s">
        <v>9</v>
      </c>
      <c r="E139" t="s">
        <v>16</v>
      </c>
      <c r="F139">
        <v>12</v>
      </c>
      <c r="G139" s="3">
        <v>2500</v>
      </c>
      <c r="H139" s="3">
        <v>30000</v>
      </c>
      <c r="I139" s="2">
        <f t="shared" si="6"/>
        <v>39692</v>
      </c>
      <c r="J139" t="str">
        <f t="shared" si="7"/>
        <v>Q3</v>
      </c>
      <c r="K139" s="3">
        <f t="shared" si="8"/>
        <v>900</v>
      </c>
    </row>
    <row r="140" spans="1:11">
      <c r="A140">
        <v>139</v>
      </c>
      <c r="B140" s="1">
        <v>39718</v>
      </c>
      <c r="C140" t="s">
        <v>17</v>
      </c>
      <c r="D140" t="s">
        <v>9</v>
      </c>
      <c r="E140" t="s">
        <v>19</v>
      </c>
      <c r="F140">
        <v>1</v>
      </c>
      <c r="G140" s="3">
        <v>500</v>
      </c>
      <c r="H140" s="3">
        <v>500</v>
      </c>
      <c r="I140" s="2">
        <f t="shared" si="6"/>
        <v>39692</v>
      </c>
      <c r="J140" t="str">
        <f t="shared" si="7"/>
        <v>Q3</v>
      </c>
      <c r="K140" s="3">
        <f t="shared" si="8"/>
        <v>15</v>
      </c>
    </row>
    <row r="141" spans="1:11">
      <c r="A141">
        <v>140</v>
      </c>
      <c r="B141" s="1">
        <v>39720</v>
      </c>
      <c r="C141" t="s">
        <v>8</v>
      </c>
      <c r="D141" t="s">
        <v>12</v>
      </c>
      <c r="E141" t="s">
        <v>10</v>
      </c>
      <c r="F141">
        <v>10</v>
      </c>
      <c r="G141" s="3">
        <v>700</v>
      </c>
      <c r="H141" s="3">
        <v>7000</v>
      </c>
      <c r="I141" s="2">
        <f t="shared" si="6"/>
        <v>39692</v>
      </c>
      <c r="J141" t="str">
        <f t="shared" si="7"/>
        <v>Q3</v>
      </c>
      <c r="K141" s="3">
        <f t="shared" si="8"/>
        <v>210</v>
      </c>
    </row>
    <row r="142" spans="1:11">
      <c r="A142">
        <v>141</v>
      </c>
      <c r="B142" s="1">
        <v>39720</v>
      </c>
      <c r="C142" t="s">
        <v>11</v>
      </c>
      <c r="D142" t="s">
        <v>18</v>
      </c>
      <c r="E142" t="s">
        <v>19</v>
      </c>
      <c r="F142">
        <v>6</v>
      </c>
      <c r="G142" s="3">
        <v>500</v>
      </c>
      <c r="H142" s="3">
        <v>3000</v>
      </c>
      <c r="I142" s="2">
        <f t="shared" si="6"/>
        <v>39692</v>
      </c>
      <c r="J142" t="str">
        <f t="shared" si="7"/>
        <v>Q3</v>
      </c>
      <c r="K142" s="3">
        <f t="shared" si="8"/>
        <v>90</v>
      </c>
    </row>
    <row r="143" spans="1:11">
      <c r="A143">
        <v>142</v>
      </c>
      <c r="B143" s="1">
        <v>39721</v>
      </c>
      <c r="C143" t="s">
        <v>14</v>
      </c>
      <c r="D143" t="s">
        <v>18</v>
      </c>
      <c r="E143" t="s">
        <v>16</v>
      </c>
      <c r="F143">
        <v>18</v>
      </c>
      <c r="G143" s="3">
        <v>2500</v>
      </c>
      <c r="H143" s="3">
        <v>45000</v>
      </c>
      <c r="I143" s="2">
        <f t="shared" si="6"/>
        <v>39692</v>
      </c>
      <c r="J143" t="str">
        <f t="shared" si="7"/>
        <v>Q3</v>
      </c>
      <c r="K143" s="3">
        <f t="shared" si="8"/>
        <v>1350</v>
      </c>
    </row>
    <row r="144" spans="1:11">
      <c r="A144">
        <v>143</v>
      </c>
      <c r="B144" s="1">
        <v>39723</v>
      </c>
      <c r="C144" t="s">
        <v>11</v>
      </c>
      <c r="D144" t="s">
        <v>20</v>
      </c>
      <c r="E144" t="s">
        <v>13</v>
      </c>
      <c r="F144">
        <v>9</v>
      </c>
      <c r="G144" s="3">
        <v>25</v>
      </c>
      <c r="H144" s="3">
        <v>225</v>
      </c>
      <c r="I144" s="2">
        <f t="shared" si="6"/>
        <v>39722</v>
      </c>
      <c r="J144" t="str">
        <f t="shared" si="7"/>
        <v>Q4</v>
      </c>
      <c r="K144" s="3">
        <f t="shared" si="8"/>
        <v>6.75</v>
      </c>
    </row>
    <row r="145" spans="1:11">
      <c r="A145">
        <v>144</v>
      </c>
      <c r="B145" s="1">
        <v>39724</v>
      </c>
      <c r="C145" t="s">
        <v>14</v>
      </c>
      <c r="D145" t="s">
        <v>20</v>
      </c>
      <c r="E145" t="s">
        <v>16</v>
      </c>
      <c r="F145">
        <v>5</v>
      </c>
      <c r="G145" s="3">
        <v>2500</v>
      </c>
      <c r="H145" s="3">
        <v>12500</v>
      </c>
      <c r="I145" s="2">
        <f t="shared" si="6"/>
        <v>39722</v>
      </c>
      <c r="J145" t="str">
        <f t="shared" si="7"/>
        <v>Q4</v>
      </c>
      <c r="K145" s="3">
        <f t="shared" si="8"/>
        <v>375</v>
      </c>
    </row>
    <row r="146" spans="1:11">
      <c r="A146">
        <v>145</v>
      </c>
      <c r="B146" s="1">
        <v>39725</v>
      </c>
      <c r="C146" t="s">
        <v>11</v>
      </c>
      <c r="D146" t="s">
        <v>9</v>
      </c>
      <c r="E146" t="s">
        <v>19</v>
      </c>
      <c r="F146">
        <v>8</v>
      </c>
      <c r="G146" s="3">
        <v>500</v>
      </c>
      <c r="H146" s="3">
        <v>4000</v>
      </c>
      <c r="I146" s="2">
        <f t="shared" si="6"/>
        <v>39722</v>
      </c>
      <c r="J146" t="str">
        <f t="shared" si="7"/>
        <v>Q4</v>
      </c>
      <c r="K146" s="3">
        <f t="shared" si="8"/>
        <v>120</v>
      </c>
    </row>
    <row r="147" spans="1:11">
      <c r="A147">
        <v>146</v>
      </c>
      <c r="B147" s="1">
        <v>39727</v>
      </c>
      <c r="C147" t="s">
        <v>8</v>
      </c>
      <c r="D147" t="s">
        <v>12</v>
      </c>
      <c r="E147" t="s">
        <v>10</v>
      </c>
      <c r="F147">
        <v>11</v>
      </c>
      <c r="G147" s="3">
        <v>700</v>
      </c>
      <c r="H147" s="3">
        <v>7700</v>
      </c>
      <c r="I147" s="2">
        <f t="shared" si="6"/>
        <v>39722</v>
      </c>
      <c r="J147" t="str">
        <f t="shared" si="7"/>
        <v>Q4</v>
      </c>
      <c r="K147" s="3">
        <f t="shared" si="8"/>
        <v>231</v>
      </c>
    </row>
    <row r="148" spans="1:11">
      <c r="A148">
        <v>147</v>
      </c>
      <c r="B148" s="1">
        <v>39730</v>
      </c>
      <c r="C148" t="s">
        <v>11</v>
      </c>
      <c r="D148" t="s">
        <v>18</v>
      </c>
      <c r="E148" t="s">
        <v>13</v>
      </c>
      <c r="F148">
        <v>18</v>
      </c>
      <c r="G148" s="3">
        <v>25</v>
      </c>
      <c r="H148" s="3">
        <v>450</v>
      </c>
      <c r="I148" s="2">
        <f t="shared" si="6"/>
        <v>39722</v>
      </c>
      <c r="J148" t="str">
        <f t="shared" si="7"/>
        <v>Q4</v>
      </c>
      <c r="K148" s="3">
        <f t="shared" si="8"/>
        <v>13.5</v>
      </c>
    </row>
    <row r="149" spans="1:11">
      <c r="A149">
        <v>148</v>
      </c>
      <c r="B149" s="1">
        <v>39731</v>
      </c>
      <c r="C149" t="s">
        <v>8</v>
      </c>
      <c r="D149" t="s">
        <v>18</v>
      </c>
      <c r="E149" t="s">
        <v>10</v>
      </c>
      <c r="F149">
        <v>9</v>
      </c>
      <c r="G149" s="3">
        <v>700</v>
      </c>
      <c r="H149" s="3">
        <v>6300</v>
      </c>
      <c r="I149" s="2">
        <f t="shared" si="6"/>
        <v>39722</v>
      </c>
      <c r="J149" t="str">
        <f t="shared" si="7"/>
        <v>Q4</v>
      </c>
      <c r="K149" s="3">
        <f t="shared" si="8"/>
        <v>189</v>
      </c>
    </row>
    <row r="150" spans="1:11">
      <c r="A150">
        <v>149</v>
      </c>
      <c r="B150" s="1">
        <v>39732</v>
      </c>
      <c r="C150" t="s">
        <v>17</v>
      </c>
      <c r="D150" t="s">
        <v>9</v>
      </c>
      <c r="E150" t="s">
        <v>19</v>
      </c>
      <c r="F150">
        <v>9</v>
      </c>
      <c r="G150" s="3">
        <v>500</v>
      </c>
      <c r="H150" s="3">
        <v>4500</v>
      </c>
      <c r="I150" s="2">
        <f t="shared" si="6"/>
        <v>39722</v>
      </c>
      <c r="J150" t="str">
        <f t="shared" si="7"/>
        <v>Q4</v>
      </c>
      <c r="K150" s="3">
        <f t="shared" si="8"/>
        <v>135</v>
      </c>
    </row>
    <row r="151" spans="1:11">
      <c r="A151">
        <v>150</v>
      </c>
      <c r="B151" s="1">
        <v>39734</v>
      </c>
      <c r="C151" t="s">
        <v>14</v>
      </c>
      <c r="D151" t="s">
        <v>18</v>
      </c>
      <c r="E151" t="s">
        <v>16</v>
      </c>
      <c r="F151">
        <v>4</v>
      </c>
      <c r="G151" s="3">
        <v>2500</v>
      </c>
      <c r="H151" s="3">
        <v>10000</v>
      </c>
      <c r="I151" s="2">
        <f t="shared" si="6"/>
        <v>39722</v>
      </c>
      <c r="J151" t="str">
        <f t="shared" si="7"/>
        <v>Q4</v>
      </c>
      <c r="K151" s="3">
        <f t="shared" si="8"/>
        <v>300</v>
      </c>
    </row>
    <row r="152" spans="1:11">
      <c r="A152">
        <v>151</v>
      </c>
      <c r="B152" s="1">
        <v>39734</v>
      </c>
      <c r="C152" t="s">
        <v>8</v>
      </c>
      <c r="D152" t="s">
        <v>18</v>
      </c>
      <c r="E152" t="s">
        <v>10</v>
      </c>
      <c r="F152">
        <v>17</v>
      </c>
      <c r="G152" s="3">
        <v>700</v>
      </c>
      <c r="H152" s="3">
        <v>11900</v>
      </c>
      <c r="I152" s="2">
        <f t="shared" si="6"/>
        <v>39722</v>
      </c>
      <c r="J152" t="str">
        <f t="shared" si="7"/>
        <v>Q4</v>
      </c>
      <c r="K152" s="3">
        <f t="shared" si="8"/>
        <v>357</v>
      </c>
    </row>
    <row r="153" spans="1:11">
      <c r="A153">
        <v>152</v>
      </c>
      <c r="B153" s="1">
        <v>39735</v>
      </c>
      <c r="C153" t="s">
        <v>17</v>
      </c>
      <c r="D153" t="s">
        <v>9</v>
      </c>
      <c r="E153" t="s">
        <v>19</v>
      </c>
      <c r="F153">
        <v>3</v>
      </c>
      <c r="G153" s="3">
        <v>500</v>
      </c>
      <c r="H153" s="3">
        <v>1500</v>
      </c>
      <c r="I153" s="2">
        <f t="shared" si="6"/>
        <v>39722</v>
      </c>
      <c r="J153" t="str">
        <f t="shared" si="7"/>
        <v>Q4</v>
      </c>
      <c r="K153" s="3">
        <f t="shared" si="8"/>
        <v>45</v>
      </c>
    </row>
    <row r="154" spans="1:11">
      <c r="A154">
        <v>153</v>
      </c>
      <c r="B154" s="1">
        <v>39737</v>
      </c>
      <c r="C154" t="s">
        <v>8</v>
      </c>
      <c r="D154" t="s">
        <v>15</v>
      </c>
      <c r="E154" t="s">
        <v>10</v>
      </c>
      <c r="F154">
        <v>14</v>
      </c>
      <c r="G154" s="3">
        <v>700</v>
      </c>
      <c r="H154" s="3">
        <v>9800</v>
      </c>
      <c r="I154" s="2">
        <f t="shared" si="6"/>
        <v>39722</v>
      </c>
      <c r="J154" t="str">
        <f t="shared" si="7"/>
        <v>Q4</v>
      </c>
      <c r="K154" s="3">
        <f t="shared" si="8"/>
        <v>294</v>
      </c>
    </row>
    <row r="155" spans="1:11">
      <c r="A155">
        <v>154</v>
      </c>
      <c r="B155" s="1">
        <v>39739</v>
      </c>
      <c r="C155" t="s">
        <v>14</v>
      </c>
      <c r="D155" t="s">
        <v>9</v>
      </c>
      <c r="E155" t="s">
        <v>16</v>
      </c>
      <c r="F155">
        <v>9</v>
      </c>
      <c r="G155" s="3">
        <v>2500</v>
      </c>
      <c r="H155" s="3">
        <v>22500</v>
      </c>
      <c r="I155" s="2">
        <f t="shared" si="6"/>
        <v>39722</v>
      </c>
      <c r="J155" t="str">
        <f t="shared" si="7"/>
        <v>Q4</v>
      </c>
      <c r="K155" s="3">
        <f t="shared" si="8"/>
        <v>675</v>
      </c>
    </row>
    <row r="156" spans="1:11">
      <c r="A156">
        <v>155</v>
      </c>
      <c r="B156" s="1">
        <v>39740</v>
      </c>
      <c r="C156" t="s">
        <v>11</v>
      </c>
      <c r="D156" t="s">
        <v>12</v>
      </c>
      <c r="E156" t="s">
        <v>13</v>
      </c>
      <c r="F156">
        <v>14</v>
      </c>
      <c r="G156" s="3">
        <v>25</v>
      </c>
      <c r="H156" s="3">
        <v>350</v>
      </c>
      <c r="I156" s="2">
        <f t="shared" si="6"/>
        <v>39722</v>
      </c>
      <c r="J156" t="str">
        <f t="shared" si="7"/>
        <v>Q4</v>
      </c>
      <c r="K156" s="3">
        <f t="shared" si="8"/>
        <v>10.5</v>
      </c>
    </row>
    <row r="157" spans="1:11">
      <c r="A157">
        <v>156</v>
      </c>
      <c r="B157" s="1">
        <v>39743</v>
      </c>
      <c r="C157" t="s">
        <v>14</v>
      </c>
      <c r="D157" t="s">
        <v>18</v>
      </c>
      <c r="E157" t="s">
        <v>16</v>
      </c>
      <c r="F157">
        <v>10</v>
      </c>
      <c r="G157" s="3">
        <v>2500</v>
      </c>
      <c r="H157" s="3">
        <v>25000</v>
      </c>
      <c r="I157" s="2">
        <f t="shared" si="6"/>
        <v>39722</v>
      </c>
      <c r="J157" t="str">
        <f t="shared" si="7"/>
        <v>Q4</v>
      </c>
      <c r="K157" s="3">
        <f t="shared" si="8"/>
        <v>750</v>
      </c>
    </row>
    <row r="158" spans="1:11">
      <c r="A158">
        <v>157</v>
      </c>
      <c r="B158" s="1">
        <v>39744</v>
      </c>
      <c r="C158" t="s">
        <v>14</v>
      </c>
      <c r="D158" t="s">
        <v>9</v>
      </c>
      <c r="E158" t="s">
        <v>16</v>
      </c>
      <c r="F158">
        <v>15</v>
      </c>
      <c r="G158" s="3">
        <v>2500</v>
      </c>
      <c r="H158" s="3">
        <v>37500</v>
      </c>
      <c r="I158" s="2">
        <f t="shared" si="6"/>
        <v>39722</v>
      </c>
      <c r="J158" t="str">
        <f t="shared" si="7"/>
        <v>Q4</v>
      </c>
      <c r="K158" s="3">
        <f t="shared" si="8"/>
        <v>1125</v>
      </c>
    </row>
    <row r="159" spans="1:11">
      <c r="A159">
        <v>158</v>
      </c>
      <c r="B159" s="1">
        <v>39745</v>
      </c>
      <c r="C159" t="s">
        <v>17</v>
      </c>
      <c r="D159" t="s">
        <v>9</v>
      </c>
      <c r="E159" t="s">
        <v>19</v>
      </c>
      <c r="F159">
        <v>2</v>
      </c>
      <c r="G159" s="3">
        <v>500</v>
      </c>
      <c r="H159" s="3">
        <v>1000</v>
      </c>
      <c r="I159" s="2">
        <f t="shared" si="6"/>
        <v>39722</v>
      </c>
      <c r="J159" t="str">
        <f t="shared" si="7"/>
        <v>Q4</v>
      </c>
      <c r="K159" s="3">
        <f t="shared" si="8"/>
        <v>30</v>
      </c>
    </row>
    <row r="160" spans="1:11">
      <c r="A160">
        <v>159</v>
      </c>
      <c r="B160" s="1">
        <v>39746</v>
      </c>
      <c r="C160" t="s">
        <v>8</v>
      </c>
      <c r="D160" t="s">
        <v>9</v>
      </c>
      <c r="E160" t="s">
        <v>10</v>
      </c>
      <c r="F160">
        <v>11</v>
      </c>
      <c r="G160" s="3">
        <v>700</v>
      </c>
      <c r="H160" s="3">
        <v>7700</v>
      </c>
      <c r="I160" s="2">
        <f t="shared" si="6"/>
        <v>39722</v>
      </c>
      <c r="J160" t="str">
        <f t="shared" si="7"/>
        <v>Q4</v>
      </c>
      <c r="K160" s="3">
        <f t="shared" si="8"/>
        <v>231</v>
      </c>
    </row>
    <row r="161" spans="1:11">
      <c r="A161">
        <v>160</v>
      </c>
      <c r="B161" s="1">
        <v>39746</v>
      </c>
      <c r="C161" t="s">
        <v>11</v>
      </c>
      <c r="D161" t="s">
        <v>9</v>
      </c>
      <c r="E161" t="s">
        <v>10</v>
      </c>
      <c r="F161">
        <v>2</v>
      </c>
      <c r="G161" s="3">
        <v>700</v>
      </c>
      <c r="H161" s="3">
        <v>1400</v>
      </c>
      <c r="I161" s="2">
        <f t="shared" si="6"/>
        <v>39722</v>
      </c>
      <c r="J161" t="str">
        <f t="shared" si="7"/>
        <v>Q4</v>
      </c>
      <c r="K161" s="3">
        <f t="shared" si="8"/>
        <v>42</v>
      </c>
    </row>
    <row r="162" spans="1:11">
      <c r="A162">
        <v>161</v>
      </c>
      <c r="B162" s="1">
        <v>39748</v>
      </c>
      <c r="C162" t="s">
        <v>8</v>
      </c>
      <c r="D162" t="s">
        <v>9</v>
      </c>
      <c r="E162" t="s">
        <v>10</v>
      </c>
      <c r="F162">
        <v>8</v>
      </c>
      <c r="G162" s="3">
        <v>700</v>
      </c>
      <c r="H162" s="3">
        <v>5600</v>
      </c>
      <c r="I162" s="2">
        <f t="shared" si="6"/>
        <v>39722</v>
      </c>
      <c r="J162" t="str">
        <f t="shared" si="7"/>
        <v>Q4</v>
      </c>
      <c r="K162" s="3">
        <f t="shared" si="8"/>
        <v>168</v>
      </c>
    </row>
    <row r="163" spans="1:11">
      <c r="A163">
        <v>162</v>
      </c>
      <c r="B163" s="1">
        <v>39753</v>
      </c>
      <c r="C163" t="s">
        <v>11</v>
      </c>
      <c r="D163" t="s">
        <v>18</v>
      </c>
      <c r="E163" t="s">
        <v>13</v>
      </c>
      <c r="F163">
        <v>16</v>
      </c>
      <c r="G163" s="3">
        <v>25</v>
      </c>
      <c r="H163" s="3">
        <v>400</v>
      </c>
      <c r="I163" s="2">
        <f t="shared" si="6"/>
        <v>39753</v>
      </c>
      <c r="J163" t="str">
        <f t="shared" si="7"/>
        <v>Q4</v>
      </c>
      <c r="K163" s="3">
        <f t="shared" si="8"/>
        <v>12</v>
      </c>
    </row>
    <row r="164" spans="1:11">
      <c r="A164">
        <v>163</v>
      </c>
      <c r="B164" s="1">
        <v>39755</v>
      </c>
      <c r="C164" t="s">
        <v>17</v>
      </c>
      <c r="D164" t="s">
        <v>9</v>
      </c>
      <c r="E164" t="s">
        <v>10</v>
      </c>
      <c r="F164">
        <v>20</v>
      </c>
      <c r="G164" s="3">
        <v>700</v>
      </c>
      <c r="H164" s="3">
        <v>14000</v>
      </c>
      <c r="I164" s="2">
        <f t="shared" si="6"/>
        <v>39753</v>
      </c>
      <c r="J164" t="str">
        <f t="shared" si="7"/>
        <v>Q4</v>
      </c>
      <c r="K164" s="3">
        <f t="shared" si="8"/>
        <v>420</v>
      </c>
    </row>
    <row r="165" spans="1:11">
      <c r="A165">
        <v>164</v>
      </c>
      <c r="B165" s="1">
        <v>39756</v>
      </c>
      <c r="C165" t="s">
        <v>8</v>
      </c>
      <c r="D165" t="s">
        <v>15</v>
      </c>
      <c r="E165" t="s">
        <v>10</v>
      </c>
      <c r="F165">
        <v>14</v>
      </c>
      <c r="G165" s="3">
        <v>700</v>
      </c>
      <c r="H165" s="3">
        <v>9800</v>
      </c>
      <c r="I165" s="2">
        <f t="shared" si="6"/>
        <v>39753</v>
      </c>
      <c r="J165" t="str">
        <f t="shared" si="7"/>
        <v>Q4</v>
      </c>
      <c r="K165" s="3">
        <f t="shared" si="8"/>
        <v>294</v>
      </c>
    </row>
    <row r="166" spans="1:11">
      <c r="A166">
        <v>165</v>
      </c>
      <c r="B166" s="1">
        <v>39758</v>
      </c>
      <c r="C166" t="s">
        <v>14</v>
      </c>
      <c r="D166" t="s">
        <v>9</v>
      </c>
      <c r="E166" t="s">
        <v>16</v>
      </c>
      <c r="F166">
        <v>20</v>
      </c>
      <c r="G166" s="3">
        <v>2500</v>
      </c>
      <c r="H166" s="3">
        <v>50000</v>
      </c>
      <c r="I166" s="2">
        <f t="shared" si="6"/>
        <v>39753</v>
      </c>
      <c r="J166" t="str">
        <f t="shared" si="7"/>
        <v>Q4</v>
      </c>
      <c r="K166" s="3">
        <f t="shared" si="8"/>
        <v>1500</v>
      </c>
    </row>
    <row r="167" spans="1:11">
      <c r="A167">
        <v>166</v>
      </c>
      <c r="B167" s="1">
        <v>39761</v>
      </c>
      <c r="C167" t="s">
        <v>14</v>
      </c>
      <c r="D167" t="s">
        <v>12</v>
      </c>
      <c r="E167" t="s">
        <v>16</v>
      </c>
      <c r="F167">
        <v>3</v>
      </c>
      <c r="G167" s="3">
        <v>2500</v>
      </c>
      <c r="H167" s="3">
        <v>7500</v>
      </c>
      <c r="I167" s="2">
        <f t="shared" si="6"/>
        <v>39753</v>
      </c>
      <c r="J167" t="str">
        <f t="shared" si="7"/>
        <v>Q4</v>
      </c>
      <c r="K167" s="3">
        <f t="shared" si="8"/>
        <v>225</v>
      </c>
    </row>
    <row r="168" spans="1:11">
      <c r="A168">
        <v>167</v>
      </c>
      <c r="B168" s="1">
        <v>39761</v>
      </c>
      <c r="C168" t="s">
        <v>17</v>
      </c>
      <c r="D168" t="s">
        <v>15</v>
      </c>
      <c r="E168" t="s">
        <v>19</v>
      </c>
      <c r="F168">
        <v>6</v>
      </c>
      <c r="G168" s="3">
        <v>500</v>
      </c>
      <c r="H168" s="3">
        <v>3000</v>
      </c>
      <c r="I168" s="2">
        <f t="shared" si="6"/>
        <v>39753</v>
      </c>
      <c r="J168" t="str">
        <f t="shared" si="7"/>
        <v>Q4</v>
      </c>
      <c r="K168" s="3">
        <f t="shared" si="8"/>
        <v>90</v>
      </c>
    </row>
    <row r="169" spans="1:11">
      <c r="A169">
        <v>168</v>
      </c>
      <c r="B169" s="1">
        <v>39762</v>
      </c>
      <c r="C169" t="s">
        <v>11</v>
      </c>
      <c r="D169" t="s">
        <v>9</v>
      </c>
      <c r="E169" t="s">
        <v>13</v>
      </c>
      <c r="F169">
        <v>11</v>
      </c>
      <c r="G169" s="3">
        <v>25</v>
      </c>
      <c r="H169" s="3">
        <v>275</v>
      </c>
      <c r="I169" s="2">
        <f t="shared" si="6"/>
        <v>39753</v>
      </c>
      <c r="J169" t="str">
        <f t="shared" si="7"/>
        <v>Q4</v>
      </c>
      <c r="K169" s="3">
        <f t="shared" si="8"/>
        <v>8.25</v>
      </c>
    </row>
    <row r="170" spans="1:11">
      <c r="A170">
        <v>169</v>
      </c>
      <c r="B170" s="1">
        <v>39762</v>
      </c>
      <c r="C170" t="s">
        <v>17</v>
      </c>
      <c r="D170" t="s">
        <v>9</v>
      </c>
      <c r="E170" t="s">
        <v>19</v>
      </c>
      <c r="F170">
        <v>14</v>
      </c>
      <c r="G170" s="3">
        <v>500</v>
      </c>
      <c r="H170" s="3">
        <v>7000</v>
      </c>
      <c r="I170" s="2">
        <f t="shared" si="6"/>
        <v>39753</v>
      </c>
      <c r="J170" t="str">
        <f t="shared" si="7"/>
        <v>Q4</v>
      </c>
      <c r="K170" s="3">
        <f t="shared" si="8"/>
        <v>210</v>
      </c>
    </row>
    <row r="171" spans="1:11">
      <c r="A171">
        <v>170</v>
      </c>
      <c r="B171" s="1">
        <v>39767</v>
      </c>
      <c r="C171" t="s">
        <v>11</v>
      </c>
      <c r="D171" t="s">
        <v>9</v>
      </c>
      <c r="E171" t="s">
        <v>13</v>
      </c>
      <c r="F171">
        <v>9</v>
      </c>
      <c r="G171" s="3">
        <v>25</v>
      </c>
      <c r="H171" s="3">
        <v>225</v>
      </c>
      <c r="I171" s="2">
        <f t="shared" si="6"/>
        <v>39753</v>
      </c>
      <c r="J171" t="str">
        <f t="shared" si="7"/>
        <v>Q4</v>
      </c>
      <c r="K171" s="3">
        <f t="shared" si="8"/>
        <v>6.75</v>
      </c>
    </row>
    <row r="172" spans="1:11">
      <c r="A172">
        <v>171</v>
      </c>
      <c r="B172" s="1">
        <v>39767</v>
      </c>
      <c r="C172" t="s">
        <v>14</v>
      </c>
      <c r="D172" t="s">
        <v>9</v>
      </c>
      <c r="E172" t="s">
        <v>16</v>
      </c>
      <c r="F172">
        <v>7</v>
      </c>
      <c r="G172" s="3">
        <v>2500</v>
      </c>
      <c r="H172" s="3">
        <v>17500</v>
      </c>
      <c r="I172" s="2">
        <f t="shared" si="6"/>
        <v>39753</v>
      </c>
      <c r="J172" t="str">
        <f t="shared" si="7"/>
        <v>Q4</v>
      </c>
      <c r="K172" s="3">
        <f t="shared" si="8"/>
        <v>525</v>
      </c>
    </row>
    <row r="173" spans="1:11">
      <c r="A173">
        <v>172</v>
      </c>
      <c r="B173" s="1">
        <v>39768</v>
      </c>
      <c r="C173" t="s">
        <v>17</v>
      </c>
      <c r="D173" t="s">
        <v>9</v>
      </c>
      <c r="E173" t="s">
        <v>10</v>
      </c>
      <c r="F173">
        <v>9</v>
      </c>
      <c r="G173" s="3">
        <v>700</v>
      </c>
      <c r="H173" s="3">
        <v>6300</v>
      </c>
      <c r="I173" s="2">
        <f t="shared" si="6"/>
        <v>39753</v>
      </c>
      <c r="J173" t="str">
        <f t="shared" si="7"/>
        <v>Q4</v>
      </c>
      <c r="K173" s="3">
        <f t="shared" si="8"/>
        <v>189</v>
      </c>
    </row>
    <row r="174" spans="1:11">
      <c r="A174">
        <v>173</v>
      </c>
      <c r="B174" s="1">
        <v>39769</v>
      </c>
      <c r="C174" t="s">
        <v>14</v>
      </c>
      <c r="D174" t="s">
        <v>9</v>
      </c>
      <c r="E174" t="s">
        <v>16</v>
      </c>
      <c r="F174">
        <v>4</v>
      </c>
      <c r="G174" s="3">
        <v>2500</v>
      </c>
      <c r="H174" s="3">
        <v>10000</v>
      </c>
      <c r="I174" s="2">
        <f t="shared" si="6"/>
        <v>39753</v>
      </c>
      <c r="J174" t="str">
        <f t="shared" si="7"/>
        <v>Q4</v>
      </c>
      <c r="K174" s="3">
        <f t="shared" si="8"/>
        <v>300</v>
      </c>
    </row>
    <row r="175" spans="1:11">
      <c r="A175">
        <v>174</v>
      </c>
      <c r="B175" s="1">
        <v>39774</v>
      </c>
      <c r="C175" t="s">
        <v>17</v>
      </c>
      <c r="D175" t="s">
        <v>18</v>
      </c>
      <c r="E175" t="s">
        <v>19</v>
      </c>
      <c r="F175">
        <v>6</v>
      </c>
      <c r="G175" s="3">
        <v>500</v>
      </c>
      <c r="H175" s="3">
        <v>3000</v>
      </c>
      <c r="I175" s="2">
        <f t="shared" si="6"/>
        <v>39753</v>
      </c>
      <c r="J175" t="str">
        <f t="shared" si="7"/>
        <v>Q4</v>
      </c>
      <c r="K175" s="3">
        <f t="shared" si="8"/>
        <v>90</v>
      </c>
    </row>
    <row r="176" spans="1:11">
      <c r="A176">
        <v>175</v>
      </c>
      <c r="B176" s="1">
        <v>39776</v>
      </c>
      <c r="C176" t="s">
        <v>17</v>
      </c>
      <c r="D176" t="s">
        <v>9</v>
      </c>
      <c r="E176" t="s">
        <v>19</v>
      </c>
      <c r="F176">
        <v>7</v>
      </c>
      <c r="G176" s="3">
        <v>500</v>
      </c>
      <c r="H176" s="3">
        <v>3500</v>
      </c>
      <c r="I176" s="2">
        <f t="shared" si="6"/>
        <v>39753</v>
      </c>
      <c r="J176" t="str">
        <f t="shared" si="7"/>
        <v>Q4</v>
      </c>
      <c r="K176" s="3">
        <f t="shared" si="8"/>
        <v>105</v>
      </c>
    </row>
    <row r="177" spans="1:11">
      <c r="A177">
        <v>176</v>
      </c>
      <c r="B177" s="1">
        <v>39778</v>
      </c>
      <c r="C177" t="s">
        <v>8</v>
      </c>
      <c r="D177" t="s">
        <v>18</v>
      </c>
      <c r="E177" t="s">
        <v>10</v>
      </c>
      <c r="F177">
        <v>3</v>
      </c>
      <c r="G177" s="3">
        <v>700</v>
      </c>
      <c r="H177" s="3">
        <v>2100</v>
      </c>
      <c r="I177" s="2">
        <f t="shared" si="6"/>
        <v>39753</v>
      </c>
      <c r="J177" t="str">
        <f t="shared" si="7"/>
        <v>Q4</v>
      </c>
      <c r="K177" s="3">
        <f t="shared" si="8"/>
        <v>63</v>
      </c>
    </row>
    <row r="178" spans="1:11">
      <c r="A178">
        <v>177</v>
      </c>
      <c r="B178" s="1">
        <v>39778</v>
      </c>
      <c r="C178" t="s">
        <v>14</v>
      </c>
      <c r="D178" t="s">
        <v>15</v>
      </c>
      <c r="E178" t="s">
        <v>16</v>
      </c>
      <c r="F178">
        <v>13</v>
      </c>
      <c r="G178" s="3">
        <v>2500</v>
      </c>
      <c r="H178" s="3">
        <v>32500</v>
      </c>
      <c r="I178" s="2">
        <f t="shared" si="6"/>
        <v>39753</v>
      </c>
      <c r="J178" t="str">
        <f t="shared" si="7"/>
        <v>Q4</v>
      </c>
      <c r="K178" s="3">
        <f t="shared" si="8"/>
        <v>975</v>
      </c>
    </row>
    <row r="179" spans="1:11">
      <c r="A179">
        <v>178</v>
      </c>
      <c r="B179" s="1">
        <v>39779</v>
      </c>
      <c r="C179" t="s">
        <v>11</v>
      </c>
      <c r="D179" t="s">
        <v>20</v>
      </c>
      <c r="E179" t="s">
        <v>13</v>
      </c>
      <c r="F179">
        <v>6</v>
      </c>
      <c r="G179" s="3">
        <v>25</v>
      </c>
      <c r="H179" s="3">
        <v>150</v>
      </c>
      <c r="I179" s="2">
        <f t="shared" si="6"/>
        <v>39753</v>
      </c>
      <c r="J179" t="str">
        <f t="shared" si="7"/>
        <v>Q4</v>
      </c>
      <c r="K179" s="3">
        <f t="shared" si="8"/>
        <v>4.5</v>
      </c>
    </row>
    <row r="180" spans="1:11">
      <c r="A180">
        <v>179</v>
      </c>
      <c r="B180" s="1">
        <v>39779</v>
      </c>
      <c r="C180" t="s">
        <v>11</v>
      </c>
      <c r="D180" t="s">
        <v>18</v>
      </c>
      <c r="E180" t="s">
        <v>19</v>
      </c>
      <c r="F180">
        <v>5</v>
      </c>
      <c r="G180" s="3">
        <v>500</v>
      </c>
      <c r="H180" s="3">
        <v>2500</v>
      </c>
      <c r="I180" s="2">
        <f t="shared" si="6"/>
        <v>39753</v>
      </c>
      <c r="J180" t="str">
        <f t="shared" si="7"/>
        <v>Q4</v>
      </c>
      <c r="K180" s="3">
        <f t="shared" si="8"/>
        <v>75</v>
      </c>
    </row>
    <row r="181" spans="1:11">
      <c r="A181">
        <v>180</v>
      </c>
      <c r="B181" s="1">
        <v>39779</v>
      </c>
      <c r="C181" t="s">
        <v>11</v>
      </c>
      <c r="D181" t="s">
        <v>9</v>
      </c>
      <c r="E181" t="s">
        <v>10</v>
      </c>
      <c r="F181">
        <v>8</v>
      </c>
      <c r="G181" s="3">
        <v>700</v>
      </c>
      <c r="H181" s="3">
        <v>5600</v>
      </c>
      <c r="I181" s="2">
        <f t="shared" si="6"/>
        <v>39753</v>
      </c>
      <c r="J181" t="str">
        <f t="shared" si="7"/>
        <v>Q4</v>
      </c>
      <c r="K181" s="3">
        <f t="shared" si="8"/>
        <v>168</v>
      </c>
    </row>
    <row r="182" spans="1:11">
      <c r="A182">
        <v>181</v>
      </c>
      <c r="B182" s="1">
        <v>39780</v>
      </c>
      <c r="C182" t="s">
        <v>14</v>
      </c>
      <c r="D182" t="s">
        <v>20</v>
      </c>
      <c r="E182" t="s">
        <v>16</v>
      </c>
      <c r="F182">
        <v>9</v>
      </c>
      <c r="G182" s="3">
        <v>2500</v>
      </c>
      <c r="H182" s="3">
        <v>22500</v>
      </c>
      <c r="I182" s="2">
        <f t="shared" si="6"/>
        <v>39753</v>
      </c>
      <c r="J182" t="str">
        <f t="shared" si="7"/>
        <v>Q4</v>
      </c>
      <c r="K182" s="3">
        <f t="shared" si="8"/>
        <v>675</v>
      </c>
    </row>
    <row r="183" spans="1:11">
      <c r="A183">
        <v>182</v>
      </c>
      <c r="B183" s="1">
        <v>39780</v>
      </c>
      <c r="C183" t="s">
        <v>11</v>
      </c>
      <c r="D183" t="s">
        <v>18</v>
      </c>
      <c r="E183" t="s">
        <v>13</v>
      </c>
      <c r="F183">
        <v>18</v>
      </c>
      <c r="G183" s="3">
        <v>25</v>
      </c>
      <c r="H183" s="3">
        <v>450</v>
      </c>
      <c r="I183" s="2">
        <f t="shared" si="6"/>
        <v>39753</v>
      </c>
      <c r="J183" t="str">
        <f t="shared" si="7"/>
        <v>Q4</v>
      </c>
      <c r="K183" s="3">
        <f t="shared" si="8"/>
        <v>13.5</v>
      </c>
    </row>
    <row r="184" spans="1:11">
      <c r="A184">
        <v>183</v>
      </c>
      <c r="B184" s="1">
        <v>39782</v>
      </c>
      <c r="C184" t="s">
        <v>11</v>
      </c>
      <c r="D184" t="s">
        <v>20</v>
      </c>
      <c r="E184" t="s">
        <v>13</v>
      </c>
      <c r="F184">
        <v>16</v>
      </c>
      <c r="G184" s="3">
        <v>25</v>
      </c>
      <c r="H184" s="3">
        <v>400</v>
      </c>
      <c r="I184" s="2">
        <f t="shared" si="6"/>
        <v>39753</v>
      </c>
      <c r="J184" t="str">
        <f t="shared" si="7"/>
        <v>Q4</v>
      </c>
      <c r="K184" s="3">
        <f t="shared" si="8"/>
        <v>12</v>
      </c>
    </row>
    <row r="185" spans="1:11">
      <c r="A185">
        <v>184</v>
      </c>
      <c r="B185" s="1">
        <v>39783</v>
      </c>
      <c r="C185" t="s">
        <v>17</v>
      </c>
      <c r="D185" t="s">
        <v>12</v>
      </c>
      <c r="E185" t="s">
        <v>19</v>
      </c>
      <c r="F185">
        <v>18</v>
      </c>
      <c r="G185" s="3">
        <v>500</v>
      </c>
      <c r="H185" s="3">
        <v>9000</v>
      </c>
      <c r="I185" s="2">
        <f t="shared" si="6"/>
        <v>39783</v>
      </c>
      <c r="J185" t="str">
        <f t="shared" si="7"/>
        <v>Q4</v>
      </c>
      <c r="K185" s="3">
        <f t="shared" si="8"/>
        <v>270</v>
      </c>
    </row>
    <row r="186" spans="1:11">
      <c r="A186">
        <v>185</v>
      </c>
      <c r="B186" s="1">
        <v>39783</v>
      </c>
      <c r="C186" t="s">
        <v>8</v>
      </c>
      <c r="D186" t="s">
        <v>9</v>
      </c>
      <c r="E186" t="s">
        <v>10</v>
      </c>
      <c r="F186">
        <v>18</v>
      </c>
      <c r="G186" s="3">
        <v>700</v>
      </c>
      <c r="H186" s="3">
        <v>12600</v>
      </c>
      <c r="I186" s="2">
        <f t="shared" si="6"/>
        <v>39783</v>
      </c>
      <c r="J186" t="str">
        <f t="shared" si="7"/>
        <v>Q4</v>
      </c>
      <c r="K186" s="3">
        <f t="shared" si="8"/>
        <v>378</v>
      </c>
    </row>
    <row r="187" spans="1:11">
      <c r="A187">
        <v>186</v>
      </c>
      <c r="B187" s="1">
        <v>39784</v>
      </c>
      <c r="C187" t="s">
        <v>11</v>
      </c>
      <c r="D187" t="s">
        <v>18</v>
      </c>
      <c r="E187" t="s">
        <v>13</v>
      </c>
      <c r="F187">
        <v>2</v>
      </c>
      <c r="G187" s="3">
        <v>25</v>
      </c>
      <c r="H187" s="3">
        <v>50</v>
      </c>
      <c r="I187" s="2">
        <f t="shared" si="6"/>
        <v>39783</v>
      </c>
      <c r="J187" t="str">
        <f t="shared" si="7"/>
        <v>Q4</v>
      </c>
      <c r="K187" s="3">
        <f t="shared" si="8"/>
        <v>1.5</v>
      </c>
    </row>
    <row r="188" spans="1:11">
      <c r="A188">
        <v>187</v>
      </c>
      <c r="B188" s="1">
        <v>39786</v>
      </c>
      <c r="C188" t="s">
        <v>11</v>
      </c>
      <c r="D188" t="s">
        <v>12</v>
      </c>
      <c r="E188" t="s">
        <v>13</v>
      </c>
      <c r="F188">
        <v>13</v>
      </c>
      <c r="G188" s="3">
        <v>25</v>
      </c>
      <c r="H188" s="3">
        <v>325</v>
      </c>
      <c r="I188" s="2">
        <f t="shared" si="6"/>
        <v>39783</v>
      </c>
      <c r="J188" t="str">
        <f t="shared" si="7"/>
        <v>Q4</v>
      </c>
      <c r="K188" s="3">
        <f t="shared" si="8"/>
        <v>9.75</v>
      </c>
    </row>
    <row r="189" spans="1:11">
      <c r="A189">
        <v>188</v>
      </c>
      <c r="B189" s="1">
        <v>39787</v>
      </c>
      <c r="C189" t="s">
        <v>17</v>
      </c>
      <c r="D189" t="s">
        <v>9</v>
      </c>
      <c r="E189" t="s">
        <v>19</v>
      </c>
      <c r="F189">
        <v>20</v>
      </c>
      <c r="G189" s="3">
        <v>500</v>
      </c>
      <c r="H189" s="3">
        <v>10000</v>
      </c>
      <c r="I189" s="2">
        <f t="shared" si="6"/>
        <v>39783</v>
      </c>
      <c r="J189" t="str">
        <f t="shared" si="7"/>
        <v>Q4</v>
      </c>
      <c r="K189" s="3">
        <f t="shared" si="8"/>
        <v>300</v>
      </c>
    </row>
    <row r="190" spans="1:11">
      <c r="A190">
        <v>189</v>
      </c>
      <c r="B190" s="1">
        <v>39787</v>
      </c>
      <c r="C190" t="s">
        <v>14</v>
      </c>
      <c r="D190" t="s">
        <v>9</v>
      </c>
      <c r="E190" t="s">
        <v>16</v>
      </c>
      <c r="F190">
        <v>14</v>
      </c>
      <c r="G190" s="3">
        <v>2500</v>
      </c>
      <c r="H190" s="3">
        <v>35000</v>
      </c>
      <c r="I190" s="2">
        <f t="shared" si="6"/>
        <v>39783</v>
      </c>
      <c r="J190" t="str">
        <f t="shared" si="7"/>
        <v>Q4</v>
      </c>
      <c r="K190" s="3">
        <f t="shared" si="8"/>
        <v>1050</v>
      </c>
    </row>
    <row r="191" spans="1:11">
      <c r="A191">
        <v>190</v>
      </c>
      <c r="B191" s="1">
        <v>39789</v>
      </c>
      <c r="C191" t="s">
        <v>8</v>
      </c>
      <c r="D191" t="s">
        <v>18</v>
      </c>
      <c r="E191" t="s">
        <v>10</v>
      </c>
      <c r="F191">
        <v>3</v>
      </c>
      <c r="G191" s="3">
        <v>700</v>
      </c>
      <c r="H191" s="3">
        <v>2100</v>
      </c>
      <c r="I191" s="2">
        <f t="shared" si="6"/>
        <v>39783</v>
      </c>
      <c r="J191" t="str">
        <f t="shared" si="7"/>
        <v>Q4</v>
      </c>
      <c r="K191" s="3">
        <f t="shared" si="8"/>
        <v>63</v>
      </c>
    </row>
    <row r="192" spans="1:11">
      <c r="A192">
        <v>191</v>
      </c>
      <c r="B192" s="1">
        <v>39789</v>
      </c>
      <c r="C192" t="s">
        <v>17</v>
      </c>
      <c r="D192" t="s">
        <v>9</v>
      </c>
      <c r="E192" t="s">
        <v>19</v>
      </c>
      <c r="F192">
        <v>1</v>
      </c>
      <c r="G192" s="3">
        <v>500</v>
      </c>
      <c r="H192" s="3">
        <v>500</v>
      </c>
      <c r="I192" s="2">
        <f t="shared" si="6"/>
        <v>39783</v>
      </c>
      <c r="J192" t="str">
        <f t="shared" si="7"/>
        <v>Q4</v>
      </c>
      <c r="K192" s="3">
        <f t="shared" si="8"/>
        <v>15</v>
      </c>
    </row>
    <row r="193" spans="1:11">
      <c r="A193">
        <v>192</v>
      </c>
      <c r="B193" s="1">
        <v>39797</v>
      </c>
      <c r="C193" t="s">
        <v>8</v>
      </c>
      <c r="D193" t="s">
        <v>18</v>
      </c>
      <c r="E193" t="s">
        <v>10</v>
      </c>
      <c r="F193">
        <v>3</v>
      </c>
      <c r="G193" s="3">
        <v>700</v>
      </c>
      <c r="H193" s="3">
        <v>2100</v>
      </c>
      <c r="I193" s="2">
        <f t="shared" si="6"/>
        <v>39783</v>
      </c>
      <c r="J193" t="str">
        <f t="shared" si="7"/>
        <v>Q4</v>
      </c>
      <c r="K193" s="3">
        <f t="shared" si="8"/>
        <v>63</v>
      </c>
    </row>
    <row r="194" spans="1:11">
      <c r="A194">
        <v>193</v>
      </c>
      <c r="B194" s="1">
        <v>39797</v>
      </c>
      <c r="C194" t="s">
        <v>11</v>
      </c>
      <c r="D194" t="s">
        <v>18</v>
      </c>
      <c r="E194" t="s">
        <v>13</v>
      </c>
      <c r="F194">
        <v>1</v>
      </c>
      <c r="G194" s="3">
        <v>25</v>
      </c>
      <c r="H194" s="3">
        <v>25</v>
      </c>
      <c r="I194" s="2">
        <f t="shared" si="6"/>
        <v>39783</v>
      </c>
      <c r="J194" t="str">
        <f t="shared" si="7"/>
        <v>Q4</v>
      </c>
      <c r="K194" s="3">
        <f t="shared" si="8"/>
        <v>0.75</v>
      </c>
    </row>
    <row r="195" spans="1:11">
      <c r="A195">
        <v>194</v>
      </c>
      <c r="B195" s="1">
        <v>39799</v>
      </c>
      <c r="C195" t="s">
        <v>14</v>
      </c>
      <c r="D195" t="s">
        <v>18</v>
      </c>
      <c r="E195" t="s">
        <v>16</v>
      </c>
      <c r="F195">
        <v>12</v>
      </c>
      <c r="G195" s="3">
        <v>2500</v>
      </c>
      <c r="H195" s="3">
        <v>30000</v>
      </c>
      <c r="I195" s="2">
        <f t="shared" ref="I195:I200" si="9">DATE(YEAR(B195),MONTH(B195),1)</f>
        <v>39783</v>
      </c>
      <c r="J195" t="str">
        <f t="shared" ref="J195:J200" si="10">"Q"&amp;ROUNDUP(MONTH(B195)/3,0)</f>
        <v>Q4</v>
      </c>
      <c r="K195" s="3">
        <f t="shared" ref="K195:K200" si="11">H195*3%</f>
        <v>900</v>
      </c>
    </row>
    <row r="196" spans="1:11">
      <c r="A196">
        <v>195</v>
      </c>
      <c r="B196" s="1">
        <v>39800</v>
      </c>
      <c r="C196" t="s">
        <v>11</v>
      </c>
      <c r="D196" t="s">
        <v>18</v>
      </c>
      <c r="E196" t="s">
        <v>10</v>
      </c>
      <c r="F196">
        <v>15</v>
      </c>
      <c r="G196" s="3">
        <v>700</v>
      </c>
      <c r="H196" s="3">
        <v>10500</v>
      </c>
      <c r="I196" s="2">
        <f t="shared" si="9"/>
        <v>39783</v>
      </c>
      <c r="J196" t="str">
        <f t="shared" si="10"/>
        <v>Q4</v>
      </c>
      <c r="K196" s="3">
        <f t="shared" si="11"/>
        <v>315</v>
      </c>
    </row>
    <row r="197" spans="1:11">
      <c r="A197">
        <v>196</v>
      </c>
      <c r="B197" s="1">
        <v>39800</v>
      </c>
      <c r="C197" t="s">
        <v>17</v>
      </c>
      <c r="D197" t="s">
        <v>9</v>
      </c>
      <c r="E197" t="s">
        <v>19</v>
      </c>
      <c r="F197">
        <v>19</v>
      </c>
      <c r="G197" s="3">
        <v>500</v>
      </c>
      <c r="H197" s="3">
        <v>9500</v>
      </c>
      <c r="I197" s="2">
        <f t="shared" si="9"/>
        <v>39783</v>
      </c>
      <c r="J197" t="str">
        <f t="shared" si="10"/>
        <v>Q4</v>
      </c>
      <c r="K197" s="3">
        <f t="shared" si="11"/>
        <v>285</v>
      </c>
    </row>
    <row r="198" spans="1:11">
      <c r="A198">
        <v>197</v>
      </c>
      <c r="B198" s="1">
        <v>39809</v>
      </c>
      <c r="C198" t="s">
        <v>11</v>
      </c>
      <c r="D198" t="s">
        <v>18</v>
      </c>
      <c r="E198" t="s">
        <v>19</v>
      </c>
      <c r="F198">
        <v>14</v>
      </c>
      <c r="G198" s="3">
        <v>500</v>
      </c>
      <c r="H198" s="3">
        <v>7000</v>
      </c>
      <c r="I198" s="2">
        <f t="shared" si="9"/>
        <v>39783</v>
      </c>
      <c r="J198" t="str">
        <f t="shared" si="10"/>
        <v>Q4</v>
      </c>
      <c r="K198" s="3">
        <f t="shared" si="11"/>
        <v>210</v>
      </c>
    </row>
    <row r="199" spans="1:11">
      <c r="A199">
        <v>198</v>
      </c>
      <c r="B199" s="1">
        <v>39810</v>
      </c>
      <c r="C199" t="s">
        <v>17</v>
      </c>
      <c r="D199" t="s">
        <v>20</v>
      </c>
      <c r="E199" t="s">
        <v>19</v>
      </c>
      <c r="F199">
        <v>20</v>
      </c>
      <c r="G199" s="3">
        <v>500</v>
      </c>
      <c r="H199" s="3">
        <v>10000</v>
      </c>
      <c r="I199" s="2">
        <f t="shared" si="9"/>
        <v>39783</v>
      </c>
      <c r="J199" t="str">
        <f t="shared" si="10"/>
        <v>Q4</v>
      </c>
      <c r="K199" s="3">
        <f t="shared" si="11"/>
        <v>300</v>
      </c>
    </row>
    <row r="200" spans="1:11">
      <c r="A200">
        <v>199</v>
      </c>
      <c r="B200" s="1">
        <v>39811</v>
      </c>
      <c r="C200" t="s">
        <v>8</v>
      </c>
      <c r="D200" t="s">
        <v>20</v>
      </c>
      <c r="E200" t="s">
        <v>10</v>
      </c>
      <c r="F200">
        <v>14</v>
      </c>
      <c r="G200" s="3">
        <v>700</v>
      </c>
      <c r="H200" s="3">
        <v>9800</v>
      </c>
      <c r="I200" s="2">
        <f t="shared" si="9"/>
        <v>39783</v>
      </c>
      <c r="J200" t="str">
        <f t="shared" si="10"/>
        <v>Q4</v>
      </c>
      <c r="K200" s="3">
        <f t="shared" si="11"/>
        <v>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DC65-1356-45B1-B452-5F1B9BFDBD84}">
  <dimension ref="A1:H8"/>
  <sheetViews>
    <sheetView showGridLines="0" workbookViewId="0">
      <selection activeCell="E2" sqref="E2"/>
    </sheetView>
  </sheetViews>
  <sheetFormatPr defaultRowHeight="15"/>
  <cols>
    <col min="1" max="1" width="17.140625" customWidth="1"/>
    <col min="2" max="2" width="13.7109375" bestFit="1" customWidth="1"/>
    <col min="3" max="3" width="16.42578125" bestFit="1" customWidth="1"/>
    <col min="4" max="4" width="14.28515625" bestFit="1" customWidth="1"/>
    <col min="5" max="8" width="20" customWidth="1"/>
  </cols>
  <sheetData>
    <row r="1" spans="1:8" ht="27.95" customHeight="1">
      <c r="A1" s="8"/>
      <c r="B1" s="8"/>
      <c r="C1" s="8"/>
      <c r="D1" s="8"/>
      <c r="E1" s="8"/>
      <c r="F1" s="8"/>
      <c r="G1" s="8"/>
      <c r="H1" s="8"/>
    </row>
    <row r="2" spans="1:8" ht="20.100000000000001" customHeight="1">
      <c r="A2" s="7"/>
      <c r="B2" s="7"/>
      <c r="C2" s="7"/>
      <c r="D2" s="7"/>
      <c r="E2" s="7"/>
      <c r="F2" s="7"/>
      <c r="G2" s="7"/>
      <c r="H2" s="7"/>
    </row>
    <row r="4" spans="1:8">
      <c r="A4" s="4" t="s">
        <v>25</v>
      </c>
      <c r="C4" s="4" t="s">
        <v>3</v>
      </c>
    </row>
    <row r="5" spans="1:8">
      <c r="A5" s="4" t="s">
        <v>21</v>
      </c>
      <c r="B5" s="4" t="s">
        <v>2</v>
      </c>
      <c r="C5" t="s">
        <v>20</v>
      </c>
      <c r="D5" t="s">
        <v>24</v>
      </c>
    </row>
    <row r="6" spans="1:8">
      <c r="A6" s="2">
        <v>39783</v>
      </c>
      <c r="B6" t="s">
        <v>17</v>
      </c>
      <c r="C6" s="5">
        <v>20</v>
      </c>
      <c r="D6" s="5">
        <v>20</v>
      </c>
    </row>
    <row r="7" spans="1:8">
      <c r="A7" s="2">
        <v>39783</v>
      </c>
      <c r="B7" t="s">
        <v>8</v>
      </c>
      <c r="C7" s="5">
        <v>14</v>
      </c>
      <c r="D7" s="5">
        <v>14</v>
      </c>
    </row>
    <row r="8" spans="1:8">
      <c r="A8" s="2" t="s">
        <v>24</v>
      </c>
      <c r="C8" s="5">
        <v>34</v>
      </c>
      <c r="D8" s="5">
        <v>34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45C8-2957-4061-B3F9-EA412F2AA806}">
  <dimension ref="A1:H18"/>
  <sheetViews>
    <sheetView showGridLines="0" workbookViewId="0">
      <selection activeCell="N20" sqref="N20"/>
    </sheetView>
  </sheetViews>
  <sheetFormatPr defaultRowHeight="15"/>
  <cols>
    <col min="1" max="1" width="14.28515625" bestFit="1" customWidth="1"/>
    <col min="2" max="5" width="13.7109375" bestFit="1" customWidth="1"/>
    <col min="6" max="6" width="14.28515625" bestFit="1" customWidth="1"/>
  </cols>
  <sheetData>
    <row r="1" spans="1:8" ht="27.95" customHeight="1">
      <c r="A1" s="6"/>
      <c r="B1" s="6"/>
      <c r="C1" s="6"/>
      <c r="D1" s="6"/>
      <c r="E1" s="6"/>
      <c r="F1" s="6"/>
      <c r="G1" s="6"/>
      <c r="H1" s="6"/>
    </row>
    <row r="2" spans="1:8" ht="20.100000000000001" customHeight="1">
      <c r="A2" s="7"/>
      <c r="B2" s="7"/>
      <c r="C2" s="7"/>
      <c r="D2" s="7"/>
      <c r="E2" s="7"/>
      <c r="F2" s="7"/>
      <c r="G2" s="7"/>
      <c r="H2" s="7"/>
    </row>
    <row r="4" spans="1:8">
      <c r="A4" s="4" t="s">
        <v>23</v>
      </c>
      <c r="B4" s="4" t="s">
        <v>2</v>
      </c>
    </row>
    <row r="5" spans="1:8">
      <c r="A5" s="4" t="s">
        <v>21</v>
      </c>
      <c r="B5" t="s">
        <v>11</v>
      </c>
      <c r="C5" t="s">
        <v>17</v>
      </c>
      <c r="D5" t="s">
        <v>8</v>
      </c>
      <c r="E5" t="s">
        <v>14</v>
      </c>
      <c r="F5" t="s">
        <v>24</v>
      </c>
    </row>
    <row r="6" spans="1:8">
      <c r="A6" s="2">
        <v>39448</v>
      </c>
      <c r="B6" s="3">
        <v>21</v>
      </c>
      <c r="C6" s="3">
        <v>1302</v>
      </c>
      <c r="D6" s="3">
        <v>567</v>
      </c>
      <c r="E6" s="3">
        <v>3825</v>
      </c>
      <c r="F6" s="3">
        <v>5715</v>
      </c>
    </row>
    <row r="7" spans="1:8">
      <c r="A7" s="2">
        <v>39479</v>
      </c>
      <c r="B7" s="3">
        <v>510</v>
      </c>
      <c r="C7" s="3">
        <v>327</v>
      </c>
      <c r="D7" s="3">
        <v>147</v>
      </c>
      <c r="E7" s="3">
        <v>975</v>
      </c>
      <c r="F7" s="3">
        <v>1959</v>
      </c>
    </row>
    <row r="8" spans="1:8">
      <c r="A8" s="2">
        <v>39508</v>
      </c>
      <c r="B8" s="3">
        <v>301.5</v>
      </c>
      <c r="C8" s="3">
        <v>450</v>
      </c>
      <c r="D8" s="3">
        <v>987</v>
      </c>
      <c r="E8" s="3"/>
      <c r="F8" s="3">
        <v>1738.5</v>
      </c>
    </row>
    <row r="9" spans="1:8">
      <c r="A9" s="2">
        <v>39539</v>
      </c>
      <c r="B9" s="3">
        <v>197.25</v>
      </c>
      <c r="C9" s="3">
        <v>780</v>
      </c>
      <c r="D9" s="3">
        <v>483</v>
      </c>
      <c r="E9" s="3">
        <v>1800</v>
      </c>
      <c r="F9" s="3">
        <v>3260.25</v>
      </c>
    </row>
    <row r="10" spans="1:8">
      <c r="A10" s="2">
        <v>39569</v>
      </c>
      <c r="B10" s="3">
        <v>39.75</v>
      </c>
      <c r="C10" s="3">
        <v>675</v>
      </c>
      <c r="D10" s="3">
        <v>1092</v>
      </c>
      <c r="E10" s="3">
        <v>3600</v>
      </c>
      <c r="F10" s="3">
        <v>5406.75</v>
      </c>
    </row>
    <row r="11" spans="1:8">
      <c r="A11" s="2">
        <v>39600</v>
      </c>
      <c r="B11" s="3">
        <v>940.5</v>
      </c>
      <c r="C11" s="3">
        <v>1215</v>
      </c>
      <c r="D11" s="3">
        <v>210</v>
      </c>
      <c r="E11" s="3">
        <v>2850</v>
      </c>
      <c r="F11" s="3">
        <v>5215.5</v>
      </c>
    </row>
    <row r="12" spans="1:8">
      <c r="A12" s="2">
        <v>39630</v>
      </c>
      <c r="B12" s="3">
        <v>1607.25</v>
      </c>
      <c r="C12" s="3">
        <v>285</v>
      </c>
      <c r="D12" s="3">
        <v>1239</v>
      </c>
      <c r="E12" s="3">
        <v>4725</v>
      </c>
      <c r="F12" s="3">
        <v>7856.25</v>
      </c>
    </row>
    <row r="13" spans="1:8">
      <c r="A13" s="2">
        <v>39661</v>
      </c>
      <c r="B13" s="3">
        <v>327</v>
      </c>
      <c r="C13" s="3">
        <v>1113</v>
      </c>
      <c r="D13" s="3">
        <v>525</v>
      </c>
      <c r="E13" s="3">
        <v>1050</v>
      </c>
      <c r="F13" s="3">
        <v>3015</v>
      </c>
    </row>
    <row r="14" spans="1:8">
      <c r="A14" s="2">
        <v>39692</v>
      </c>
      <c r="B14" s="3">
        <v>315</v>
      </c>
      <c r="C14" s="3">
        <v>873</v>
      </c>
      <c r="D14" s="3">
        <v>399</v>
      </c>
      <c r="E14" s="3">
        <v>4050</v>
      </c>
      <c r="F14" s="3">
        <v>5637</v>
      </c>
    </row>
    <row r="15" spans="1:8">
      <c r="A15" s="2">
        <v>39722</v>
      </c>
      <c r="B15" s="3">
        <v>192.75</v>
      </c>
      <c r="C15" s="3">
        <v>210</v>
      </c>
      <c r="D15" s="3">
        <v>1470</v>
      </c>
      <c r="E15" s="3">
        <v>3225</v>
      </c>
      <c r="F15" s="3">
        <v>5097.75</v>
      </c>
    </row>
    <row r="16" spans="1:8">
      <c r="A16" s="2">
        <v>39753</v>
      </c>
      <c r="B16" s="3">
        <v>300</v>
      </c>
      <c r="C16" s="3">
        <v>1104</v>
      </c>
      <c r="D16" s="3">
        <v>357</v>
      </c>
      <c r="E16" s="3">
        <v>4200</v>
      </c>
      <c r="F16" s="3">
        <v>5961</v>
      </c>
    </row>
    <row r="17" spans="1:6">
      <c r="A17" s="2">
        <v>39783</v>
      </c>
      <c r="B17" s="3">
        <v>537</v>
      </c>
      <c r="C17" s="3">
        <v>1170</v>
      </c>
      <c r="D17" s="3">
        <v>798</v>
      </c>
      <c r="E17" s="3">
        <v>1950</v>
      </c>
      <c r="F17" s="3">
        <v>4455</v>
      </c>
    </row>
    <row r="18" spans="1:6">
      <c r="A18" s="2" t="s">
        <v>24</v>
      </c>
      <c r="B18" s="3">
        <v>5289</v>
      </c>
      <c r="C18" s="3">
        <v>9504</v>
      </c>
      <c r="D18" s="3">
        <v>8274</v>
      </c>
      <c r="E18" s="3">
        <v>32250</v>
      </c>
      <c r="F18" s="3">
        <v>55317</v>
      </c>
    </row>
  </sheetData>
  <mergeCells count="1">
    <mergeCell ref="A1:H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2502-5833-4E3E-93D8-FB0C994CD763}">
  <dimension ref="A1:H10"/>
  <sheetViews>
    <sheetView showGridLines="0" workbookViewId="0">
      <selection activeCell="J6" sqref="J6"/>
    </sheetView>
  </sheetViews>
  <sheetFormatPr defaultRowHeight="15"/>
  <cols>
    <col min="1" max="1" width="16.140625" customWidth="1"/>
    <col min="2" max="6" width="18.140625" customWidth="1"/>
  </cols>
  <sheetData>
    <row r="1" spans="1:8" ht="27.95" customHeight="1">
      <c r="A1" s="9"/>
      <c r="B1" s="9"/>
      <c r="C1" s="9"/>
      <c r="D1" s="9"/>
      <c r="E1" s="9"/>
      <c r="F1" s="9"/>
      <c r="G1" s="9"/>
      <c r="H1" s="9"/>
    </row>
    <row r="2" spans="1:8" ht="20.100000000000001" customHeight="1">
      <c r="A2" s="9"/>
      <c r="B2" s="9"/>
      <c r="C2" s="9"/>
      <c r="D2" s="9"/>
      <c r="E2" s="9"/>
      <c r="F2" s="9"/>
      <c r="G2" s="9"/>
      <c r="H2" s="9"/>
    </row>
    <row r="4" spans="1:8">
      <c r="A4" s="4" t="s">
        <v>25</v>
      </c>
      <c r="B4" s="4" t="s">
        <v>4</v>
      </c>
    </row>
    <row r="5" spans="1:8">
      <c r="A5" s="4" t="s">
        <v>22</v>
      </c>
      <c r="B5" t="s">
        <v>19</v>
      </c>
      <c r="C5" t="s">
        <v>13</v>
      </c>
      <c r="D5" t="s">
        <v>16</v>
      </c>
      <c r="E5" t="s">
        <v>10</v>
      </c>
      <c r="F5" t="s">
        <v>24</v>
      </c>
    </row>
    <row r="6" spans="1:8">
      <c r="A6" t="s">
        <v>26</v>
      </c>
      <c r="B6" s="5">
        <v>139</v>
      </c>
      <c r="C6" s="5">
        <v>66</v>
      </c>
      <c r="D6" s="5">
        <v>64</v>
      </c>
      <c r="E6" s="5">
        <v>118</v>
      </c>
      <c r="F6" s="5">
        <v>387</v>
      </c>
    </row>
    <row r="7" spans="1:8">
      <c r="A7" t="s">
        <v>27</v>
      </c>
      <c r="B7" s="5">
        <v>204</v>
      </c>
      <c r="C7" s="5">
        <v>126</v>
      </c>
      <c r="D7" s="5">
        <v>110</v>
      </c>
      <c r="E7" s="5">
        <v>118</v>
      </c>
      <c r="F7" s="5">
        <v>558</v>
      </c>
    </row>
    <row r="8" spans="1:8">
      <c r="A8" t="s">
        <v>28</v>
      </c>
      <c r="B8" s="5">
        <v>186</v>
      </c>
      <c r="C8" s="5">
        <v>95</v>
      </c>
      <c r="D8" s="5">
        <v>131</v>
      </c>
      <c r="E8" s="5">
        <v>182</v>
      </c>
      <c r="F8" s="5">
        <v>594</v>
      </c>
    </row>
    <row r="9" spans="1:8">
      <c r="A9" t="s">
        <v>29</v>
      </c>
      <c r="B9" s="5">
        <v>152</v>
      </c>
      <c r="C9" s="5">
        <v>133</v>
      </c>
      <c r="D9" s="5">
        <v>125</v>
      </c>
      <c r="E9" s="5">
        <v>179</v>
      </c>
      <c r="F9" s="5">
        <v>589</v>
      </c>
    </row>
    <row r="10" spans="1:8">
      <c r="A10" t="s">
        <v>24</v>
      </c>
      <c r="B10" s="5">
        <v>681</v>
      </c>
      <c r="C10" s="5">
        <v>420</v>
      </c>
      <c r="D10" s="5">
        <v>430</v>
      </c>
      <c r="E10" s="5">
        <v>597</v>
      </c>
      <c r="F10" s="5">
        <v>2128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Zadanie 1</vt:lpstr>
      <vt:lpstr>Zadanie 2</vt:lpstr>
      <vt:lpstr>Zadanie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Piotrek</dc:creator>
  <cp:lastModifiedBy>Mariusz Staręga</cp:lastModifiedBy>
  <dcterms:created xsi:type="dcterms:W3CDTF">2021-05-25T19:25:19Z</dcterms:created>
  <dcterms:modified xsi:type="dcterms:W3CDTF">2026-09-30T08:53:33Z</dcterms:modified>
</cp:coreProperties>
</file>