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e\szkola26-27\INFORMATYKA\EXCEL\Funkcje warunkowe\"/>
    </mc:Choice>
  </mc:AlternateContent>
  <xr:revisionPtr revIDLastSave="0" documentId="13_ncr:1_{D7BA61B7-5AFD-450A-B895-F77F3010AFD2}" xr6:coauthVersionLast="47" xr6:coauthVersionMax="47" xr10:uidLastSave="{00000000-0000-0000-0000-000000000000}"/>
  <bookViews>
    <workbookView xWindow="-120" yWindow="-120" windowWidth="29040" windowHeight="17520" xr2:uid="{D8D533CC-A1A3-4FEF-8070-A3BAB77DFF5C}"/>
  </bookViews>
  <sheets>
    <sheet name="SumaJeżeli1" sheetId="4" r:id="rId1"/>
    <sheet name="SumaJeżeli2" sheetId="1" r:id="rId2"/>
    <sheet name="SumaWarunków" sheetId="2" r:id="rId3"/>
  </sheets>
  <definedNames>
    <definedName name="_xlnm._FilterDatabase" localSheetId="1" hidden="1">SumaJeżeli2!$A$2:$E$2</definedName>
    <definedName name="_xlnm._FilterDatabase" localSheetId="2" hidden="1">SumaWarunków!$A$2:$F$2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" i="2" l="1"/>
  <c r="K9" i="2"/>
  <c r="K8" i="2"/>
  <c r="K7" i="2"/>
  <c r="K6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J7" i="1"/>
  <c r="J8" i="1"/>
  <c r="J9" i="1"/>
  <c r="L9" i="1" s="1"/>
  <c r="J10" i="1"/>
  <c r="L10" i="1"/>
  <c r="L8" i="1"/>
  <c r="L7" i="1"/>
  <c r="L6" i="1"/>
  <c r="J6" i="1"/>
  <c r="F14" i="4"/>
  <c r="F21" i="4"/>
  <c r="F19" i="4"/>
  <c r="F18" i="4"/>
  <c r="F17" i="4"/>
  <c r="F16" i="4"/>
  <c r="D14" i="4"/>
  <c r="F11" i="4"/>
  <c r="F10" i="4"/>
  <c r="F9" i="4"/>
  <c r="F8" i="4"/>
  <c r="F7" i="4"/>
  <c r="F6" i="4"/>
  <c r="F5" i="4"/>
  <c r="D6" i="4"/>
  <c r="D7" i="4"/>
  <c r="D8" i="4"/>
  <c r="D9" i="4"/>
  <c r="D10" i="4"/>
  <c r="D11" i="4"/>
  <c r="D5" i="4"/>
</calcChain>
</file>

<file path=xl/sharedStrings.xml><?xml version="1.0" encoding="utf-8"?>
<sst xmlns="http://schemas.openxmlformats.org/spreadsheetml/2006/main" count="561" uniqueCount="49">
  <si>
    <t>Data</t>
  </si>
  <si>
    <t>Projektant</t>
  </si>
  <si>
    <t>Typ zadania</t>
  </si>
  <si>
    <t>Nazwa klienta</t>
  </si>
  <si>
    <t>Liczba godzin</t>
  </si>
  <si>
    <t>Natalia Kantorska</t>
  </si>
  <si>
    <t>Reklama - Internet</t>
  </si>
  <si>
    <t>Alpy - sprzęt narciarski</t>
  </si>
  <si>
    <t>Maurycy Boryński</t>
  </si>
  <si>
    <t>Teresa Kresińska</t>
  </si>
  <si>
    <t>Robert Fulton</t>
  </si>
  <si>
    <t>Atlantyk - muzeum sztuki</t>
  </si>
  <si>
    <t>Elektrociepłownia</t>
  </si>
  <si>
    <t>Katarzyna Adamowicz</t>
  </si>
  <si>
    <t>F. H. Patrycja</t>
  </si>
  <si>
    <t>Kwadro - kawiarnia</t>
  </si>
  <si>
    <t>Margo - import kawy i herbaty</t>
  </si>
  <si>
    <t>Pacyfik - Instrumenty muzyczne</t>
  </si>
  <si>
    <t>Salomon - import i eksport</t>
  </si>
  <si>
    <t>Teatr Małego Widza</t>
  </si>
  <si>
    <t>Winnica Czajkowo</t>
  </si>
  <si>
    <t>Projekt witryny</t>
  </si>
  <si>
    <t>Sklep Zdrowa Żywność</t>
  </si>
  <si>
    <t>Reklama - radio/TV</t>
  </si>
  <si>
    <t>Reklama - czasopismo</t>
  </si>
  <si>
    <t>Reklama - gazeta</t>
  </si>
  <si>
    <t>Ulotka reklamowa</t>
  </si>
  <si>
    <t>Rozliczenie roczne projektantów</t>
  </si>
  <si>
    <t>Projektant:</t>
  </si>
  <si>
    <t>liczba godz.</t>
  </si>
  <si>
    <t>stawka z umowy</t>
  </si>
  <si>
    <t>rozliczenie</t>
  </si>
  <si>
    <t>Wybierz miesiąc</t>
  </si>
  <si>
    <t>liczba godzin</t>
  </si>
  <si>
    <t>miesiąc</t>
  </si>
  <si>
    <t>Ilość</t>
  </si>
  <si>
    <t>J.m.</t>
  </si>
  <si>
    <t xml:space="preserve">Cena jednostki </t>
  </si>
  <si>
    <t>Wartość</t>
  </si>
  <si>
    <t>%</t>
  </si>
  <si>
    <t xml:space="preserve">Wartość </t>
  </si>
  <si>
    <t>netto</t>
  </si>
  <si>
    <t>bez podatku</t>
  </si>
  <si>
    <t>z podatkiem</t>
  </si>
  <si>
    <t>(zł)</t>
  </si>
  <si>
    <t>szt.</t>
  </si>
  <si>
    <t>Razem:</t>
  </si>
  <si>
    <t>W tym:</t>
  </si>
  <si>
    <t>Suma podatku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</si>
</sst>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164" formatCode="#,##0.00\ &quot;zł&quot;"/>
    <numFmt numFmtId="165" formatCode="#,##0.00\ _z_ł"/>
  </numFmts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  <charset val="238"/>
    </font>
    <font>
      <sz val="10"/>
      <color indexed="8"/>
      <name val="Arial"/>
      <family val="2"/>
    </font>
    <font>
      <b/>
      <sz val="12"/>
      <color rgb="FF3F3F3F"/>
      <name val="Calibri"/>
      <family val="2"/>
      <charset val="238"/>
      <scheme val="minor"/>
    </font>
    <font>
      <sz val="12"/>
      <color indexed="23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indexed="1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AF7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5" fillId="0" borderId="0"/>
  </cellStyleXfs>
  <cellXfs count="32">
    <xf numFmtId="0" fontId="0" fillId="0" borderId="0" xfId="0"/>
    <xf numFmtId="0" fontId="6" fillId="0" borderId="0" xfId="4" applyFont="1" applyAlignment="1">
      <alignment horizontal="center"/>
    </xf>
    <xf numFmtId="14" fontId="7" fillId="0" borderId="0" xfId="4" applyNumberFormat="1" applyFont="1"/>
    <xf numFmtId="0" fontId="7" fillId="0" borderId="0" xfId="4" quotePrefix="1" applyFont="1"/>
    <xf numFmtId="0" fontId="7" fillId="0" borderId="0" xfId="4" applyFont="1"/>
    <xf numFmtId="0" fontId="8" fillId="0" borderId="0" xfId="4" applyFont="1"/>
    <xf numFmtId="2" fontId="7" fillId="0" borderId="0" xfId="4" applyNumberFormat="1" applyFont="1" applyAlignment="1">
      <alignment horizontal="center"/>
    </xf>
    <xf numFmtId="14" fontId="7" fillId="0" borderId="0" xfId="4" quotePrefix="1" applyNumberFormat="1" applyFont="1"/>
    <xf numFmtId="0" fontId="0" fillId="0" borderId="2" xfId="0" applyBorder="1"/>
    <xf numFmtId="0" fontId="9" fillId="2" borderId="1" xfId="3" applyFont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right" vertical="center"/>
    </xf>
    <xf numFmtId="165" fontId="11" fillId="4" borderId="2" xfId="1" applyNumberFormat="1" applyFont="1" applyFill="1" applyBorder="1" applyAlignment="1">
      <alignment horizontal="center" vertical="center"/>
    </xf>
    <xf numFmtId="9" fontId="12" fillId="5" borderId="2" xfId="2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6" borderId="2" xfId="0" applyFill="1" applyBorder="1"/>
    <xf numFmtId="9" fontId="3" fillId="5" borderId="2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9" fillId="2" borderId="3" xfId="3" applyFont="1" applyBorder="1" applyAlignment="1">
      <alignment horizontal="center" vertical="center"/>
    </xf>
    <xf numFmtId="0" fontId="9" fillId="2" borderId="4" xfId="3" applyFont="1" applyBorder="1" applyAlignment="1">
      <alignment horizontal="center" vertical="center"/>
    </xf>
    <xf numFmtId="0" fontId="9" fillId="2" borderId="5" xfId="3" applyFont="1" applyBorder="1" applyAlignment="1">
      <alignment horizontal="center" vertical="center"/>
    </xf>
    <xf numFmtId="165" fontId="0" fillId="0" borderId="2" xfId="0" applyNumberFormat="1" applyBorder="1"/>
    <xf numFmtId="165" fontId="0" fillId="0" borderId="0" xfId="0" applyNumberFormat="1"/>
    <xf numFmtId="2" fontId="0" fillId="0" borderId="0" xfId="0" applyNumberFormat="1"/>
    <xf numFmtId="0" fontId="13" fillId="8" borderId="0" xfId="0" applyFont="1" applyFill="1"/>
    <xf numFmtId="0" fontId="7" fillId="0" borderId="0" xfId="4" quotePrefix="1" applyFont="1" applyBorder="1"/>
    <xf numFmtId="164" fontId="0" fillId="0" borderId="0" xfId="0" applyNumberFormat="1" applyBorder="1"/>
    <xf numFmtId="0" fontId="7" fillId="0" borderId="0" xfId="4" applyFont="1" applyBorder="1"/>
    <xf numFmtId="0" fontId="7" fillId="0" borderId="6" xfId="4" quotePrefix="1" applyFont="1" applyBorder="1"/>
    <xf numFmtId="164" fontId="0" fillId="0" borderId="6" xfId="0" applyNumberFormat="1" applyBorder="1"/>
    <xf numFmtId="0" fontId="5" fillId="0" borderId="0" xfId="4"/>
    <xf numFmtId="1" fontId="7" fillId="0" borderId="0" xfId="4" quotePrefix="1" applyNumberFormat="1" applyFont="1"/>
  </cellXfs>
  <cellStyles count="5">
    <cellStyle name="Dane wyjściowe" xfId="3" builtinId="21"/>
    <cellStyle name="Normalny" xfId="0" builtinId="0"/>
    <cellStyle name="Normalny_Lista zadań" xfId="4" xr:uid="{8AA33AE6-889E-48C1-958A-3B00EA3398C7}"/>
    <cellStyle name="Procentowy" xfId="2" builtinId="5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2</xdr:row>
      <xdr:rowOff>47625</xdr:rowOff>
    </xdr:from>
    <xdr:to>
      <xdr:col>11</xdr:col>
      <xdr:colOff>438150</xdr:colOff>
      <xdr:row>5</xdr:row>
      <xdr:rowOff>85725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1DD8E05D-2B18-4B20-B2EA-271DF4592861}"/>
            </a:ext>
          </a:extLst>
        </xdr:cNvPr>
        <xdr:cNvSpPr/>
      </xdr:nvSpPr>
      <xdr:spPr>
        <a:xfrm>
          <a:off x="6629400" y="438150"/>
          <a:ext cx="1914525" cy="638175"/>
        </a:xfrm>
        <a:prstGeom prst="wedgeRoundRectCallout">
          <a:avLst>
            <a:gd name="adj1" fmla="val -116356"/>
            <a:gd name="adj2" fmla="val 62500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Napisz odpowiednie formuły</a:t>
          </a:r>
        </a:p>
      </xdr:txBody>
    </xdr:sp>
    <xdr:clientData/>
  </xdr:twoCellAnchor>
  <xdr:twoCellAnchor>
    <xdr:from>
      <xdr:col>8</xdr:col>
      <xdr:colOff>447675</xdr:colOff>
      <xdr:row>12</xdr:row>
      <xdr:rowOff>114300</xdr:rowOff>
    </xdr:from>
    <xdr:to>
      <xdr:col>11</xdr:col>
      <xdr:colOff>533400</xdr:colOff>
      <xdr:row>15</xdr:row>
      <xdr:rowOff>180975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2640F9E8-2161-CC64-4B7B-92605CD85366}"/>
            </a:ext>
          </a:extLst>
        </xdr:cNvPr>
        <xdr:cNvSpPr/>
      </xdr:nvSpPr>
      <xdr:spPr>
        <a:xfrm>
          <a:off x="6724650" y="2495550"/>
          <a:ext cx="1914525" cy="638175"/>
        </a:xfrm>
        <a:prstGeom prst="wedgeRoundRectCallout">
          <a:avLst>
            <a:gd name="adj1" fmla="val -116356"/>
            <a:gd name="adj2" fmla="val 62500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Dla obliczeń wykorzystaj funkcję</a:t>
          </a:r>
          <a:r>
            <a:rPr lang="pl-PL" sz="1100" baseline="0"/>
            <a:t> SUMA.JEŻELI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3</xdr:row>
      <xdr:rowOff>57150</xdr:rowOff>
    </xdr:from>
    <xdr:to>
      <xdr:col>7</xdr:col>
      <xdr:colOff>552450</xdr:colOff>
      <xdr:row>6</xdr:row>
      <xdr:rowOff>123825</xdr:rowOff>
    </xdr:to>
    <xdr:sp macro="" textlink="">
      <xdr:nvSpPr>
        <xdr:cNvPr id="2" name="Dymek mowy: prostokąt z zaokrąglonymi rogami 1">
          <a:extLst>
            <a:ext uri="{FF2B5EF4-FFF2-40B4-BE49-F238E27FC236}">
              <a16:creationId xmlns:a16="http://schemas.microsoft.com/office/drawing/2014/main" id="{036A8B81-A072-79EE-9075-15E8509CD0BB}"/>
            </a:ext>
          </a:extLst>
        </xdr:cNvPr>
        <xdr:cNvSpPr/>
      </xdr:nvSpPr>
      <xdr:spPr>
        <a:xfrm>
          <a:off x="6134100" y="438150"/>
          <a:ext cx="1914525" cy="638175"/>
        </a:xfrm>
        <a:prstGeom prst="wedgeRoundRectCallout">
          <a:avLst>
            <a:gd name="adj1" fmla="val 49316"/>
            <a:gd name="adj2" fmla="val 66978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Utwórz listę projektantów:</a:t>
          </a:r>
        </a:p>
        <a:p>
          <a:pPr algn="l"/>
          <a:r>
            <a:rPr lang="pl-PL" sz="1100"/>
            <a:t>Korzystaj</a:t>
          </a:r>
          <a:r>
            <a:rPr lang="pl-PL" sz="1100" baseline="0"/>
            <a:t> z Usuń duplikaty</a:t>
          </a:r>
          <a:endParaRPr lang="pl-PL" sz="1100"/>
        </a:p>
      </xdr:txBody>
    </xdr:sp>
    <xdr:clientData/>
  </xdr:twoCellAnchor>
  <xdr:twoCellAnchor>
    <xdr:from>
      <xdr:col>9</xdr:col>
      <xdr:colOff>228600</xdr:colOff>
      <xdr:row>0</xdr:row>
      <xdr:rowOff>142875</xdr:rowOff>
    </xdr:from>
    <xdr:to>
      <xdr:col>11</xdr:col>
      <xdr:colOff>361950</xdr:colOff>
      <xdr:row>0</xdr:row>
      <xdr:rowOff>781050</xdr:rowOff>
    </xdr:to>
    <xdr:sp macro="" textlink="">
      <xdr:nvSpPr>
        <xdr:cNvPr id="3" name="Dymek mowy: prostokąt z zaokrąglonymi rogami 2">
          <a:extLst>
            <a:ext uri="{FF2B5EF4-FFF2-40B4-BE49-F238E27FC236}">
              <a16:creationId xmlns:a16="http://schemas.microsoft.com/office/drawing/2014/main" id="{0C0B43EE-CA57-C249-4A61-87FB06F1735F}"/>
            </a:ext>
          </a:extLst>
        </xdr:cNvPr>
        <xdr:cNvSpPr/>
      </xdr:nvSpPr>
      <xdr:spPr>
        <a:xfrm>
          <a:off x="10363200" y="142875"/>
          <a:ext cx="1914525" cy="638175"/>
        </a:xfrm>
        <a:prstGeom prst="wedgeRoundRectCallout">
          <a:avLst>
            <a:gd name="adj1" fmla="val -43719"/>
            <a:gd name="adj2" fmla="val 144590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Zsumuj liczbę godzin z całego roku dla danego projektanta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847725</xdr:colOff>
      <xdr:row>2</xdr:row>
      <xdr:rowOff>161925</xdr:rowOff>
    </xdr:from>
    <xdr:to>
      <xdr:col>8</xdr:col>
      <xdr:colOff>542925</xdr:colOff>
      <xdr:row>6</xdr:row>
      <xdr:rowOff>38100</xdr:rowOff>
    </xdr:to>
    <xdr:sp macro="" textlink="">
      <xdr:nvSpPr>
        <xdr:cNvPr id="4" name="Dymek mowy: prostokąt z zaokrąglonymi rogami 3">
          <a:extLst>
            <a:ext uri="{FF2B5EF4-FFF2-40B4-BE49-F238E27FC236}">
              <a16:creationId xmlns:a16="http://schemas.microsoft.com/office/drawing/2014/main" id="{D8A133E2-EF53-4512-BB71-81D2034D44AF}"/>
            </a:ext>
          </a:extLst>
        </xdr:cNvPr>
        <xdr:cNvSpPr/>
      </xdr:nvSpPr>
      <xdr:spPr>
        <a:xfrm>
          <a:off x="6781800" y="1285875"/>
          <a:ext cx="1914525" cy="638175"/>
        </a:xfrm>
        <a:prstGeom prst="wedgeRoundRectCallout">
          <a:avLst>
            <a:gd name="adj1" fmla="val 49316"/>
            <a:gd name="adj2" fmla="val 66978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Utwórz listę projektantów:</a:t>
          </a:r>
        </a:p>
        <a:p>
          <a:pPr algn="l"/>
          <a:r>
            <a:rPr lang="pl-PL" sz="1100"/>
            <a:t>Korzystaj</a:t>
          </a:r>
          <a:r>
            <a:rPr lang="pl-PL" sz="1100" baseline="0"/>
            <a:t> z Usuń duplikaty</a:t>
          </a:r>
          <a:endParaRPr lang="pl-PL" sz="1100"/>
        </a:p>
      </xdr:txBody>
    </xdr:sp>
    <xdr:clientData/>
  </xdr:twoCellAnchor>
  <xdr:twoCellAnchor>
    <xdr:from>
      <xdr:col>12</xdr:col>
      <xdr:colOff>457200</xdr:colOff>
      <xdr:row>0</xdr:row>
      <xdr:rowOff>95251</xdr:rowOff>
    </xdr:from>
    <xdr:to>
      <xdr:col>15</xdr:col>
      <xdr:colOff>542925</xdr:colOff>
      <xdr:row>0</xdr:row>
      <xdr:rowOff>476251</xdr:rowOff>
    </xdr:to>
    <xdr:sp macro="" textlink="">
      <xdr:nvSpPr>
        <xdr:cNvPr id="5" name="Dymek mowy: prostokąt z zaokrąglonymi rogami 4">
          <a:extLst>
            <a:ext uri="{FF2B5EF4-FFF2-40B4-BE49-F238E27FC236}">
              <a16:creationId xmlns:a16="http://schemas.microsoft.com/office/drawing/2014/main" id="{D044947C-F2E0-18B3-C8C7-03DD42B8EDAA}"/>
            </a:ext>
          </a:extLst>
        </xdr:cNvPr>
        <xdr:cNvSpPr/>
      </xdr:nvSpPr>
      <xdr:spPr>
        <a:xfrm>
          <a:off x="12992100" y="95251"/>
          <a:ext cx="1914525" cy="381000"/>
        </a:xfrm>
        <a:prstGeom prst="wedgeRoundRectCallout">
          <a:avLst>
            <a:gd name="adj1" fmla="val -74067"/>
            <a:gd name="adj2" fmla="val 149963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Uwtórz listę miesięcy</a:t>
          </a:r>
          <a:r>
            <a:rPr lang="pl-PL" sz="1100" baseline="0"/>
            <a:t>: 1-12</a:t>
          </a:r>
          <a:endParaRPr lang="pl-PL" sz="1100"/>
        </a:p>
      </xdr:txBody>
    </xdr:sp>
    <xdr:clientData/>
  </xdr:twoCellAnchor>
  <xdr:twoCellAnchor>
    <xdr:from>
      <xdr:col>1</xdr:col>
      <xdr:colOff>371475</xdr:colOff>
      <xdr:row>0</xdr:row>
      <xdr:rowOff>104775</xdr:rowOff>
    </xdr:from>
    <xdr:to>
      <xdr:col>3</xdr:col>
      <xdr:colOff>295275</xdr:colOff>
      <xdr:row>0</xdr:row>
      <xdr:rowOff>742950</xdr:rowOff>
    </xdr:to>
    <xdr:sp macro="" textlink="">
      <xdr:nvSpPr>
        <xdr:cNvPr id="6" name="Dymek mowy: prostokąt z zaokrąglonymi rogami 5">
          <a:extLst>
            <a:ext uri="{FF2B5EF4-FFF2-40B4-BE49-F238E27FC236}">
              <a16:creationId xmlns:a16="http://schemas.microsoft.com/office/drawing/2014/main" id="{5CD5637B-3F31-E4A1-59F0-AEF6FCDA93FF}"/>
            </a:ext>
          </a:extLst>
        </xdr:cNvPr>
        <xdr:cNvSpPr/>
      </xdr:nvSpPr>
      <xdr:spPr>
        <a:xfrm>
          <a:off x="1028700" y="104775"/>
          <a:ext cx="1914525" cy="638175"/>
        </a:xfrm>
        <a:prstGeom prst="wedgeRoundRectCallout">
          <a:avLst>
            <a:gd name="adj1" fmla="val -43719"/>
            <a:gd name="adj2" fmla="val 69963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Z</a:t>
          </a:r>
          <a:r>
            <a:rPr lang="pl-PL" sz="1100" baseline="0"/>
            <a:t> daty wybierz sam miesiąc (nr)</a:t>
          </a:r>
          <a:endParaRPr lang="pl-PL" sz="1100"/>
        </a:p>
      </xdr:txBody>
    </xdr:sp>
    <xdr:clientData/>
  </xdr:twoCellAnchor>
  <xdr:twoCellAnchor>
    <xdr:from>
      <xdr:col>12</xdr:col>
      <xdr:colOff>38100</xdr:colOff>
      <xdr:row>1</xdr:row>
      <xdr:rowOff>171450</xdr:rowOff>
    </xdr:from>
    <xdr:to>
      <xdr:col>16</xdr:col>
      <xdr:colOff>19050</xdr:colOff>
      <xdr:row>9</xdr:row>
      <xdr:rowOff>114300</xdr:rowOff>
    </xdr:to>
    <xdr:sp macro="" textlink="">
      <xdr:nvSpPr>
        <xdr:cNvPr id="7" name="Dymek mowy: prostokąt z zaokrąglonymi rogami 6">
          <a:extLst>
            <a:ext uri="{FF2B5EF4-FFF2-40B4-BE49-F238E27FC236}">
              <a16:creationId xmlns:a16="http://schemas.microsoft.com/office/drawing/2014/main" id="{710E8673-F7AE-8537-9D4A-06094A9C4814}"/>
            </a:ext>
          </a:extLst>
        </xdr:cNvPr>
        <xdr:cNvSpPr/>
      </xdr:nvSpPr>
      <xdr:spPr>
        <a:xfrm>
          <a:off x="12573000" y="1104900"/>
          <a:ext cx="2419350" cy="1466850"/>
        </a:xfrm>
        <a:prstGeom prst="wedgeRoundRectCallout">
          <a:avLst>
            <a:gd name="adj1" fmla="val -74067"/>
            <a:gd name="adj2" fmla="val -15621"/>
            <a:gd name="adj3" fmla="val 16667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Korzystając</a:t>
          </a:r>
          <a:r>
            <a:rPr lang="pl-PL" sz="1100" baseline="0"/>
            <a:t> z funkcji </a:t>
          </a:r>
          <a:br>
            <a:rPr lang="pl-PL" sz="1100" baseline="0"/>
          </a:br>
          <a:r>
            <a:rPr lang="pl-PL" sz="1100" baseline="0"/>
            <a:t>SUMA.WARUNKÓW</a:t>
          </a:r>
        </a:p>
        <a:p>
          <a:pPr algn="l"/>
          <a:r>
            <a:rPr lang="pl-PL" sz="1100" baseline="0"/>
            <a:t>napisz formułę, aby każdemu projektantowi wyświetlała się suma liczby godzin po wybraniu misiąca z listy miesięcy</a:t>
          </a:r>
          <a:endParaRPr lang="pl-PL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BBF5-6114-4B7D-9F4B-0B86BD8C7996}">
  <dimension ref="A2:F21"/>
  <sheetViews>
    <sheetView tabSelected="1" workbookViewId="0">
      <selection activeCell="F16" sqref="F16"/>
    </sheetView>
  </sheetViews>
  <sheetFormatPr defaultRowHeight="15" x14ac:dyDescent="0.25"/>
  <cols>
    <col min="1" max="1" width="9.42578125" bestFit="1" customWidth="1"/>
    <col min="3" max="3" width="15.42578125" customWidth="1"/>
    <col min="4" max="4" width="14.7109375" customWidth="1"/>
    <col min="5" max="5" width="9.42578125" bestFit="1" customWidth="1"/>
    <col min="6" max="6" width="17.7109375" customWidth="1"/>
  </cols>
  <sheetData>
    <row r="2" spans="1:6" ht="15.75" x14ac:dyDescent="0.25">
      <c r="A2" s="18" t="s">
        <v>35</v>
      </c>
      <c r="B2" s="18" t="s">
        <v>36</v>
      </c>
      <c r="C2" s="9" t="s">
        <v>37</v>
      </c>
      <c r="D2" s="9" t="s">
        <v>38</v>
      </c>
      <c r="E2" s="18" t="s">
        <v>39</v>
      </c>
      <c r="F2" s="9" t="s">
        <v>40</v>
      </c>
    </row>
    <row r="3" spans="1:6" ht="15.75" x14ac:dyDescent="0.25">
      <c r="A3" s="19"/>
      <c r="B3" s="19"/>
      <c r="C3" s="9" t="s">
        <v>41</v>
      </c>
      <c r="D3" s="9" t="s">
        <v>42</v>
      </c>
      <c r="E3" s="19"/>
      <c r="F3" s="9" t="s">
        <v>43</v>
      </c>
    </row>
    <row r="4" spans="1:6" ht="15.75" x14ac:dyDescent="0.25">
      <c r="A4" s="20"/>
      <c r="B4" s="20"/>
      <c r="C4" s="9" t="s">
        <v>44</v>
      </c>
      <c r="D4" s="9" t="s">
        <v>44</v>
      </c>
      <c r="E4" s="20"/>
      <c r="F4" s="9" t="s">
        <v>44</v>
      </c>
    </row>
    <row r="5" spans="1:6" ht="15.75" x14ac:dyDescent="0.25">
      <c r="A5" s="10">
        <v>1</v>
      </c>
      <c r="B5" s="10" t="s">
        <v>45</v>
      </c>
      <c r="C5" s="11">
        <v>120</v>
      </c>
      <c r="D5" s="12">
        <f>A5*C5</f>
        <v>120</v>
      </c>
      <c r="E5" s="13">
        <v>0.23</v>
      </c>
      <c r="F5" s="12">
        <f>D5*(1+E5)</f>
        <v>147.6</v>
      </c>
    </row>
    <row r="6" spans="1:6" ht="15.75" x14ac:dyDescent="0.25">
      <c r="A6" s="10">
        <v>7</v>
      </c>
      <c r="B6" s="10" t="s">
        <v>45</v>
      </c>
      <c r="C6" s="11">
        <v>150</v>
      </c>
      <c r="D6" s="12">
        <f t="shared" ref="D6:D11" si="0">A6*C6</f>
        <v>1050</v>
      </c>
      <c r="E6" s="13">
        <v>0.08</v>
      </c>
      <c r="F6" s="12">
        <f t="shared" ref="F6:F11" si="1">D6*(1+E6)</f>
        <v>1134</v>
      </c>
    </row>
    <row r="7" spans="1:6" ht="15.75" x14ac:dyDescent="0.25">
      <c r="A7" s="10">
        <v>3</v>
      </c>
      <c r="B7" s="10" t="s">
        <v>45</v>
      </c>
      <c r="C7" s="11">
        <v>70</v>
      </c>
      <c r="D7" s="12">
        <f t="shared" si="0"/>
        <v>210</v>
      </c>
      <c r="E7" s="13">
        <v>0.03</v>
      </c>
      <c r="F7" s="12">
        <f t="shared" si="1"/>
        <v>216.3</v>
      </c>
    </row>
    <row r="8" spans="1:6" ht="15.75" x14ac:dyDescent="0.25">
      <c r="A8" s="10">
        <v>4</v>
      </c>
      <c r="B8" s="10" t="s">
        <v>45</v>
      </c>
      <c r="C8" s="11">
        <v>50</v>
      </c>
      <c r="D8" s="12">
        <f t="shared" si="0"/>
        <v>200</v>
      </c>
      <c r="E8" s="13">
        <v>0</v>
      </c>
      <c r="F8" s="12">
        <f t="shared" si="1"/>
        <v>200</v>
      </c>
    </row>
    <row r="9" spans="1:6" ht="15.75" x14ac:dyDescent="0.25">
      <c r="A9" s="10">
        <v>4</v>
      </c>
      <c r="B9" s="10" t="s">
        <v>45</v>
      </c>
      <c r="C9" s="11">
        <v>74</v>
      </c>
      <c r="D9" s="12">
        <f t="shared" si="0"/>
        <v>296</v>
      </c>
      <c r="E9" s="13">
        <v>0.08</v>
      </c>
      <c r="F9" s="12">
        <f t="shared" si="1"/>
        <v>319.68</v>
      </c>
    </row>
    <row r="10" spans="1:6" ht="15.75" x14ac:dyDescent="0.25">
      <c r="A10" s="10">
        <v>6</v>
      </c>
      <c r="B10" s="10" t="s">
        <v>45</v>
      </c>
      <c r="C10" s="11">
        <v>120</v>
      </c>
      <c r="D10" s="12">
        <f t="shared" si="0"/>
        <v>720</v>
      </c>
      <c r="E10" s="13">
        <v>0.23</v>
      </c>
      <c r="F10" s="12">
        <f t="shared" si="1"/>
        <v>885.6</v>
      </c>
    </row>
    <row r="11" spans="1:6" ht="15.75" x14ac:dyDescent="0.25">
      <c r="A11" s="10">
        <v>5</v>
      </c>
      <c r="B11" s="10" t="s">
        <v>45</v>
      </c>
      <c r="C11" s="11">
        <v>50</v>
      </c>
      <c r="D11" s="12">
        <f t="shared" si="0"/>
        <v>250</v>
      </c>
      <c r="E11" s="13">
        <v>0.23</v>
      </c>
      <c r="F11" s="12">
        <f t="shared" si="1"/>
        <v>307.5</v>
      </c>
    </row>
    <row r="14" spans="1:6" x14ac:dyDescent="0.25">
      <c r="C14" s="14" t="s">
        <v>46</v>
      </c>
      <c r="D14" s="21">
        <f>SUM(D5:D11)</f>
        <v>2846</v>
      </c>
      <c r="E14" s="15"/>
      <c r="F14" s="21">
        <f>SUM(F5:F11)</f>
        <v>3210.68</v>
      </c>
    </row>
    <row r="15" spans="1:6" x14ac:dyDescent="0.25">
      <c r="F15" s="22"/>
    </row>
    <row r="16" spans="1:6" x14ac:dyDescent="0.25">
      <c r="D16" s="14" t="s">
        <v>47</v>
      </c>
      <c r="E16" s="16">
        <v>0.23</v>
      </c>
      <c r="F16" s="21">
        <f>SUMIF($E$5:$E$11,E16,$F$5:$F$11)</f>
        <v>1340.7</v>
      </c>
    </row>
    <row r="17" spans="4:6" x14ac:dyDescent="0.25">
      <c r="E17" s="16">
        <v>0.08</v>
      </c>
      <c r="F17" s="21">
        <f t="shared" ref="F17:F19" si="2">SUMIF($E$5:$E$11,E17,$F$5:$F$11)</f>
        <v>1453.68</v>
      </c>
    </row>
    <row r="18" spans="4:6" x14ac:dyDescent="0.25">
      <c r="E18" s="16">
        <v>0.03</v>
      </c>
      <c r="F18" s="21">
        <f t="shared" si="2"/>
        <v>216.3</v>
      </c>
    </row>
    <row r="19" spans="4:6" x14ac:dyDescent="0.25">
      <c r="E19" s="16">
        <v>0</v>
      </c>
      <c r="F19" s="21">
        <f t="shared" si="2"/>
        <v>200</v>
      </c>
    </row>
    <row r="20" spans="4:6" x14ac:dyDescent="0.25">
      <c r="F20" s="22"/>
    </row>
    <row r="21" spans="4:6" x14ac:dyDescent="0.25">
      <c r="D21" s="8" t="s">
        <v>48</v>
      </c>
      <c r="E21" s="17"/>
      <c r="F21" s="21">
        <f>F14-D14</f>
        <v>364.67999999999984</v>
      </c>
    </row>
  </sheetData>
  <mergeCells count="3">
    <mergeCell ref="A2:A4"/>
    <mergeCell ref="B2:B4"/>
    <mergeCell ref="E2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3FDE-C00B-470C-84DA-3C321F038D29}">
  <dimension ref="A1:L87"/>
  <sheetViews>
    <sheetView workbookViewId="0">
      <selection activeCell="L16" sqref="L16"/>
    </sheetView>
  </sheetViews>
  <sheetFormatPr defaultRowHeight="15" x14ac:dyDescent="0.25"/>
  <cols>
    <col min="1" max="1" width="9.85546875" bestFit="1" customWidth="1"/>
    <col min="2" max="2" width="20" bestFit="1" customWidth="1"/>
    <col min="3" max="3" width="21" bestFit="1" customWidth="1"/>
    <col min="4" max="4" width="28.28515625" bestFit="1" customWidth="1"/>
    <col min="5" max="5" width="15" bestFit="1" customWidth="1"/>
    <col min="9" max="9" width="30.42578125" bestFit="1" customWidth="1"/>
    <col min="10" max="10" width="11.140625" bestFit="1" customWidth="1"/>
    <col min="11" max="11" width="15.5703125" bestFit="1" customWidth="1"/>
    <col min="12" max="12" width="10.5703125" bestFit="1" customWidth="1"/>
  </cols>
  <sheetData>
    <row r="1" spans="1:12" ht="73.5" customHeight="1" x14ac:dyDescent="0.25"/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2" x14ac:dyDescent="0.25">
      <c r="A3" s="7">
        <v>36162</v>
      </c>
      <c r="B3" s="3" t="s">
        <v>13</v>
      </c>
      <c r="C3" s="4" t="s">
        <v>25</v>
      </c>
      <c r="D3" s="5" t="s">
        <v>16</v>
      </c>
      <c r="E3" s="6">
        <v>4.75</v>
      </c>
      <c r="I3" t="s">
        <v>27</v>
      </c>
    </row>
    <row r="4" spans="1:12" x14ac:dyDescent="0.25">
      <c r="A4" s="7">
        <v>36252</v>
      </c>
      <c r="B4" s="3" t="s">
        <v>13</v>
      </c>
      <c r="C4" s="4" t="s">
        <v>25</v>
      </c>
      <c r="D4" s="5" t="s">
        <v>19</v>
      </c>
      <c r="E4" s="6">
        <v>3.25</v>
      </c>
    </row>
    <row r="5" spans="1:12" x14ac:dyDescent="0.25">
      <c r="A5" s="7">
        <v>36225</v>
      </c>
      <c r="B5" s="3" t="s">
        <v>13</v>
      </c>
      <c r="C5" s="4" t="s">
        <v>25</v>
      </c>
      <c r="D5" s="5" t="s">
        <v>20</v>
      </c>
      <c r="E5" s="6">
        <v>3.25</v>
      </c>
      <c r="I5" s="24" t="s">
        <v>28</v>
      </c>
      <c r="J5" s="24" t="s">
        <v>29</v>
      </c>
      <c r="K5" s="24" t="s">
        <v>30</v>
      </c>
      <c r="L5" s="24" t="s">
        <v>31</v>
      </c>
    </row>
    <row r="6" spans="1:12" x14ac:dyDescent="0.25">
      <c r="A6" s="2">
        <v>36282</v>
      </c>
      <c r="B6" s="3" t="s">
        <v>13</v>
      </c>
      <c r="C6" s="4" t="s">
        <v>6</v>
      </c>
      <c r="D6" s="5" t="s">
        <v>14</v>
      </c>
      <c r="E6" s="6">
        <v>8</v>
      </c>
      <c r="I6" s="25" t="s">
        <v>13</v>
      </c>
      <c r="J6" s="30">
        <f>SUMIF($B$3:$B$87,I6,$E$3:$E$87)</f>
        <v>117.75</v>
      </c>
      <c r="K6" s="26">
        <v>35</v>
      </c>
      <c r="L6" s="26">
        <f>IF(K6="","",J6*K6)</f>
        <v>4121.25</v>
      </c>
    </row>
    <row r="7" spans="1:12" x14ac:dyDescent="0.25">
      <c r="A7" s="2">
        <v>36380</v>
      </c>
      <c r="B7" s="3" t="s">
        <v>13</v>
      </c>
      <c r="C7" s="4" t="s">
        <v>25</v>
      </c>
      <c r="D7" s="5" t="s">
        <v>20</v>
      </c>
      <c r="E7" s="6">
        <v>5</v>
      </c>
      <c r="I7" s="25" t="s">
        <v>8</v>
      </c>
      <c r="J7" s="30">
        <f t="shared" ref="J7:J10" si="0">SUMIF($B$3:$B$87,I7,$E$3:$E$87)</f>
        <v>134.25</v>
      </c>
      <c r="K7" s="26">
        <v>35</v>
      </c>
      <c r="L7" s="26">
        <f t="shared" ref="L7:L10" si="1">IF(K7="","",J7*K7)</f>
        <v>4698.75</v>
      </c>
    </row>
    <row r="8" spans="1:12" x14ac:dyDescent="0.25">
      <c r="A8" s="2">
        <v>36414</v>
      </c>
      <c r="B8" s="3" t="s">
        <v>13</v>
      </c>
      <c r="C8" s="4" t="s">
        <v>25</v>
      </c>
      <c r="D8" s="5" t="s">
        <v>17</v>
      </c>
      <c r="E8" s="6">
        <v>3.5</v>
      </c>
      <c r="I8" s="25" t="s">
        <v>5</v>
      </c>
      <c r="J8" s="30">
        <f t="shared" si="0"/>
        <v>98.5</v>
      </c>
      <c r="K8" s="26">
        <v>35</v>
      </c>
      <c r="L8" s="26">
        <f t="shared" si="1"/>
        <v>3447.5</v>
      </c>
    </row>
    <row r="9" spans="1:12" x14ac:dyDescent="0.25">
      <c r="A9" s="7">
        <v>36384</v>
      </c>
      <c r="B9" s="3" t="s">
        <v>13</v>
      </c>
      <c r="C9" s="4" t="s">
        <v>6</v>
      </c>
      <c r="D9" s="5" t="s">
        <v>14</v>
      </c>
      <c r="E9" s="6">
        <v>7.5</v>
      </c>
      <c r="I9" s="27" t="s">
        <v>10</v>
      </c>
      <c r="J9" s="30">
        <f t="shared" si="0"/>
        <v>202.5</v>
      </c>
      <c r="K9" s="26">
        <v>35</v>
      </c>
      <c r="L9" s="26">
        <f t="shared" si="1"/>
        <v>7087.5</v>
      </c>
    </row>
    <row r="10" spans="1:12" x14ac:dyDescent="0.25">
      <c r="A10" s="2">
        <v>36415</v>
      </c>
      <c r="B10" s="3" t="s">
        <v>13</v>
      </c>
      <c r="C10" s="4" t="s">
        <v>25</v>
      </c>
      <c r="D10" s="5" t="s">
        <v>12</v>
      </c>
      <c r="E10" s="6">
        <v>4.25</v>
      </c>
      <c r="I10" s="28" t="s">
        <v>9</v>
      </c>
      <c r="J10" s="30">
        <f t="shared" si="0"/>
        <v>105</v>
      </c>
      <c r="K10" s="26">
        <v>35</v>
      </c>
      <c r="L10" s="29">
        <f t="shared" si="1"/>
        <v>3675</v>
      </c>
    </row>
    <row r="11" spans="1:12" x14ac:dyDescent="0.25">
      <c r="A11" s="2">
        <v>36386</v>
      </c>
      <c r="B11" s="3" t="s">
        <v>13</v>
      </c>
      <c r="C11" s="4" t="s">
        <v>26</v>
      </c>
      <c r="D11" s="5" t="s">
        <v>18</v>
      </c>
      <c r="E11" s="6">
        <v>9.5</v>
      </c>
    </row>
    <row r="12" spans="1:12" x14ac:dyDescent="0.25">
      <c r="A12" s="7">
        <v>36387</v>
      </c>
      <c r="B12" s="3" t="s">
        <v>13</v>
      </c>
      <c r="C12" s="4" t="s">
        <v>24</v>
      </c>
      <c r="D12" s="5" t="s">
        <v>11</v>
      </c>
      <c r="E12" s="6">
        <v>9</v>
      </c>
    </row>
    <row r="13" spans="1:12" x14ac:dyDescent="0.25">
      <c r="A13" s="7">
        <v>36387</v>
      </c>
      <c r="B13" s="3" t="s">
        <v>13</v>
      </c>
      <c r="C13" s="4" t="s">
        <v>26</v>
      </c>
      <c r="D13" s="5" t="s">
        <v>20</v>
      </c>
      <c r="E13" s="6">
        <v>7</v>
      </c>
    </row>
    <row r="14" spans="1:12" x14ac:dyDescent="0.25">
      <c r="A14" s="7">
        <v>36425</v>
      </c>
      <c r="B14" s="3" t="s">
        <v>13</v>
      </c>
      <c r="C14" s="4" t="s">
        <v>6</v>
      </c>
      <c r="D14" s="5" t="s">
        <v>12</v>
      </c>
      <c r="E14" s="6">
        <v>9.75</v>
      </c>
    </row>
    <row r="15" spans="1:12" x14ac:dyDescent="0.25">
      <c r="A15" s="7">
        <v>36427</v>
      </c>
      <c r="B15" s="3" t="s">
        <v>13</v>
      </c>
      <c r="C15" s="4" t="s">
        <v>25</v>
      </c>
      <c r="D15" s="5" t="s">
        <v>20</v>
      </c>
      <c r="E15" s="6">
        <v>5.5</v>
      </c>
    </row>
    <row r="16" spans="1:12" x14ac:dyDescent="0.25">
      <c r="A16" s="2">
        <v>36488</v>
      </c>
      <c r="B16" s="3" t="s">
        <v>13</v>
      </c>
      <c r="C16" s="4" t="s">
        <v>26</v>
      </c>
      <c r="D16" s="5" t="s">
        <v>14</v>
      </c>
      <c r="E16" s="6">
        <v>8</v>
      </c>
    </row>
    <row r="17" spans="1:5" x14ac:dyDescent="0.25">
      <c r="A17" s="2">
        <v>36400</v>
      </c>
      <c r="B17" s="3" t="s">
        <v>13</v>
      </c>
      <c r="C17" s="4" t="s">
        <v>25</v>
      </c>
      <c r="D17" s="5" t="s">
        <v>17</v>
      </c>
      <c r="E17" s="6">
        <v>5.5</v>
      </c>
    </row>
    <row r="18" spans="1:5" x14ac:dyDescent="0.25">
      <c r="A18" s="2">
        <v>36505</v>
      </c>
      <c r="B18" s="4" t="s">
        <v>13</v>
      </c>
      <c r="C18" s="4" t="s">
        <v>21</v>
      </c>
      <c r="D18" s="5" t="s">
        <v>16</v>
      </c>
      <c r="E18" s="6">
        <v>24</v>
      </c>
    </row>
    <row r="19" spans="1:5" x14ac:dyDescent="0.25">
      <c r="A19" s="7">
        <v>36193</v>
      </c>
      <c r="B19" s="3" t="s">
        <v>8</v>
      </c>
      <c r="C19" s="4" t="s">
        <v>25</v>
      </c>
      <c r="D19" s="5" t="s">
        <v>16</v>
      </c>
      <c r="E19" s="6">
        <v>2</v>
      </c>
    </row>
    <row r="20" spans="1:5" x14ac:dyDescent="0.25">
      <c r="A20" s="2">
        <v>36375</v>
      </c>
      <c r="B20" s="3" t="s">
        <v>8</v>
      </c>
      <c r="C20" s="4" t="s">
        <v>21</v>
      </c>
      <c r="D20" s="5" t="s">
        <v>20</v>
      </c>
      <c r="E20" s="6">
        <v>20</v>
      </c>
    </row>
    <row r="21" spans="1:5" x14ac:dyDescent="0.25">
      <c r="A21" s="2">
        <v>36257</v>
      </c>
      <c r="B21" s="3" t="s">
        <v>8</v>
      </c>
      <c r="C21" s="4" t="s">
        <v>26</v>
      </c>
      <c r="D21" s="5" t="s">
        <v>16</v>
      </c>
      <c r="E21" s="6">
        <v>4</v>
      </c>
    </row>
    <row r="22" spans="1:5" x14ac:dyDescent="0.25">
      <c r="A22" s="7">
        <v>36328</v>
      </c>
      <c r="B22" s="3" t="s">
        <v>8</v>
      </c>
      <c r="C22" s="4" t="s">
        <v>25</v>
      </c>
      <c r="D22" s="5" t="s">
        <v>15</v>
      </c>
      <c r="E22" s="6">
        <v>3.5</v>
      </c>
    </row>
    <row r="23" spans="1:5" x14ac:dyDescent="0.25">
      <c r="A23" s="2">
        <v>36363</v>
      </c>
      <c r="B23" s="3" t="s">
        <v>8</v>
      </c>
      <c r="C23" s="4" t="s">
        <v>23</v>
      </c>
      <c r="D23" s="5" t="s">
        <v>15</v>
      </c>
      <c r="E23" s="6">
        <v>6.5</v>
      </c>
    </row>
    <row r="24" spans="1:5" x14ac:dyDescent="0.25">
      <c r="A24" s="2">
        <v>36381</v>
      </c>
      <c r="B24" s="3" t="s">
        <v>8</v>
      </c>
      <c r="C24" s="4" t="s">
        <v>6</v>
      </c>
      <c r="D24" s="5" t="s">
        <v>7</v>
      </c>
      <c r="E24" s="6">
        <v>8</v>
      </c>
    </row>
    <row r="25" spans="1:5" x14ac:dyDescent="0.25">
      <c r="A25" s="2">
        <v>36385</v>
      </c>
      <c r="B25" s="3" t="s">
        <v>8</v>
      </c>
      <c r="C25" s="4" t="s">
        <v>6</v>
      </c>
      <c r="D25" s="5" t="s">
        <v>18</v>
      </c>
      <c r="E25" s="6">
        <v>6</v>
      </c>
    </row>
    <row r="26" spans="1:5" x14ac:dyDescent="0.25">
      <c r="A26" s="2">
        <v>36418</v>
      </c>
      <c r="B26" s="3" t="s">
        <v>8</v>
      </c>
      <c r="C26" s="4" t="s">
        <v>6</v>
      </c>
      <c r="D26" s="5" t="s">
        <v>11</v>
      </c>
      <c r="E26" s="6">
        <v>8</v>
      </c>
    </row>
    <row r="27" spans="1:5" x14ac:dyDescent="0.25">
      <c r="A27" s="7">
        <v>36448</v>
      </c>
      <c r="B27" s="3" t="s">
        <v>8</v>
      </c>
      <c r="C27" s="4" t="s">
        <v>26</v>
      </c>
      <c r="D27" s="5" t="s">
        <v>11</v>
      </c>
      <c r="E27" s="6">
        <v>3.5</v>
      </c>
    </row>
    <row r="28" spans="1:5" x14ac:dyDescent="0.25">
      <c r="A28" s="2">
        <v>36390</v>
      </c>
      <c r="B28" s="3" t="s">
        <v>8</v>
      </c>
      <c r="C28" s="4" t="s">
        <v>6</v>
      </c>
      <c r="D28" s="5" t="s">
        <v>17</v>
      </c>
      <c r="E28" s="6">
        <v>7</v>
      </c>
    </row>
    <row r="29" spans="1:5" x14ac:dyDescent="0.25">
      <c r="A29" s="2">
        <v>36390</v>
      </c>
      <c r="B29" s="3" t="s">
        <v>8</v>
      </c>
      <c r="C29" s="4" t="s">
        <v>23</v>
      </c>
      <c r="D29" s="5" t="s">
        <v>14</v>
      </c>
      <c r="E29" s="6">
        <v>7.5</v>
      </c>
    </row>
    <row r="30" spans="1:5" x14ac:dyDescent="0.25">
      <c r="A30" s="7">
        <v>36394</v>
      </c>
      <c r="B30" s="3" t="s">
        <v>8</v>
      </c>
      <c r="C30" s="4" t="s">
        <v>25</v>
      </c>
      <c r="D30" s="5" t="s">
        <v>15</v>
      </c>
      <c r="E30" s="6">
        <v>3</v>
      </c>
    </row>
    <row r="31" spans="1:5" x14ac:dyDescent="0.25">
      <c r="A31" s="2">
        <v>36396</v>
      </c>
      <c r="B31" s="3" t="s">
        <v>8</v>
      </c>
      <c r="C31" s="4" t="s">
        <v>21</v>
      </c>
      <c r="D31" s="5" t="s">
        <v>12</v>
      </c>
      <c r="E31" s="6">
        <v>27.5</v>
      </c>
    </row>
    <row r="32" spans="1:5" x14ac:dyDescent="0.25">
      <c r="A32" s="7">
        <v>36491</v>
      </c>
      <c r="B32" s="3" t="s">
        <v>8</v>
      </c>
      <c r="C32" s="4" t="s">
        <v>25</v>
      </c>
      <c r="D32" s="5" t="s">
        <v>20</v>
      </c>
      <c r="E32" s="6">
        <v>3.75</v>
      </c>
    </row>
    <row r="33" spans="1:5" x14ac:dyDescent="0.25">
      <c r="A33" s="2">
        <v>36504</v>
      </c>
      <c r="B33" s="3" t="s">
        <v>8</v>
      </c>
      <c r="C33" s="4" t="s">
        <v>21</v>
      </c>
      <c r="D33" s="5" t="s">
        <v>15</v>
      </c>
      <c r="E33" s="6">
        <v>24</v>
      </c>
    </row>
    <row r="34" spans="1:5" x14ac:dyDescent="0.25">
      <c r="A34" s="7">
        <v>36162</v>
      </c>
      <c r="B34" s="3" t="s">
        <v>5</v>
      </c>
      <c r="C34" s="4" t="s">
        <v>25</v>
      </c>
      <c r="D34" s="5" t="s">
        <v>15</v>
      </c>
      <c r="E34" s="6">
        <v>3</v>
      </c>
    </row>
    <row r="35" spans="1:5" x14ac:dyDescent="0.25">
      <c r="A35" s="2">
        <v>36221</v>
      </c>
      <c r="B35" s="3" t="s">
        <v>5</v>
      </c>
      <c r="C35" s="4" t="s">
        <v>26</v>
      </c>
      <c r="D35" s="5" t="s">
        <v>19</v>
      </c>
      <c r="E35" s="6">
        <v>4</v>
      </c>
    </row>
    <row r="36" spans="1:5" x14ac:dyDescent="0.25">
      <c r="A36" s="2">
        <v>36295</v>
      </c>
      <c r="B36" s="3" t="s">
        <v>5</v>
      </c>
      <c r="C36" s="4" t="s">
        <v>6</v>
      </c>
      <c r="D36" s="5" t="s">
        <v>7</v>
      </c>
      <c r="E36" s="6">
        <v>8</v>
      </c>
    </row>
    <row r="37" spans="1:5" x14ac:dyDescent="0.25">
      <c r="A37" s="7">
        <v>36364</v>
      </c>
      <c r="B37" s="3" t="s">
        <v>5</v>
      </c>
      <c r="C37" s="4" t="s">
        <v>26</v>
      </c>
      <c r="D37" s="5" t="s">
        <v>11</v>
      </c>
      <c r="E37" s="6">
        <v>3.5</v>
      </c>
    </row>
    <row r="38" spans="1:5" x14ac:dyDescent="0.25">
      <c r="A38" s="2">
        <v>36357</v>
      </c>
      <c r="B38" s="3" t="s">
        <v>5</v>
      </c>
      <c r="C38" s="4" t="s">
        <v>26</v>
      </c>
      <c r="D38" s="5" t="s">
        <v>16</v>
      </c>
      <c r="E38" s="6">
        <v>4</v>
      </c>
    </row>
    <row r="39" spans="1:5" x14ac:dyDescent="0.25">
      <c r="A39" s="2">
        <v>36363</v>
      </c>
      <c r="B39" s="3" t="s">
        <v>5</v>
      </c>
      <c r="C39" s="4" t="s">
        <v>6</v>
      </c>
      <c r="D39" s="5" t="s">
        <v>12</v>
      </c>
      <c r="E39" s="6">
        <v>7</v>
      </c>
    </row>
    <row r="40" spans="1:5" x14ac:dyDescent="0.25">
      <c r="A40" s="2">
        <v>36364</v>
      </c>
      <c r="B40" s="3" t="s">
        <v>5</v>
      </c>
      <c r="C40" s="4" t="s">
        <v>6</v>
      </c>
      <c r="D40" s="5" t="s">
        <v>17</v>
      </c>
      <c r="E40" s="6">
        <v>7</v>
      </c>
    </row>
    <row r="41" spans="1:5" x14ac:dyDescent="0.25">
      <c r="A41" s="2">
        <v>36383</v>
      </c>
      <c r="B41" s="3" t="s">
        <v>5</v>
      </c>
      <c r="C41" s="4" t="s">
        <v>25</v>
      </c>
      <c r="D41" s="5" t="s">
        <v>17</v>
      </c>
      <c r="E41" s="6">
        <v>3.5</v>
      </c>
    </row>
    <row r="42" spans="1:5" x14ac:dyDescent="0.25">
      <c r="A42" s="2">
        <v>36476</v>
      </c>
      <c r="B42" s="3" t="s">
        <v>5</v>
      </c>
      <c r="C42" s="4" t="s">
        <v>25</v>
      </c>
      <c r="D42" s="5" t="s">
        <v>12</v>
      </c>
      <c r="E42" s="6">
        <v>3.25</v>
      </c>
    </row>
    <row r="43" spans="1:5" x14ac:dyDescent="0.25">
      <c r="A43" s="7">
        <v>36387</v>
      </c>
      <c r="B43" s="3" t="s">
        <v>5</v>
      </c>
      <c r="C43" s="4" t="s">
        <v>24</v>
      </c>
      <c r="D43" s="5" t="s">
        <v>11</v>
      </c>
      <c r="E43" s="6">
        <v>4</v>
      </c>
    </row>
    <row r="44" spans="1:5" x14ac:dyDescent="0.25">
      <c r="A44" s="7">
        <v>36387</v>
      </c>
      <c r="B44" s="3" t="s">
        <v>5</v>
      </c>
      <c r="C44" s="4" t="s">
        <v>26</v>
      </c>
      <c r="D44" s="5" t="s">
        <v>20</v>
      </c>
      <c r="E44" s="6">
        <v>5</v>
      </c>
    </row>
    <row r="45" spans="1:5" x14ac:dyDescent="0.25">
      <c r="A45" s="7">
        <v>36390</v>
      </c>
      <c r="B45" s="3" t="s">
        <v>5</v>
      </c>
      <c r="C45" s="4" t="s">
        <v>25</v>
      </c>
      <c r="D45" s="5" t="s">
        <v>19</v>
      </c>
      <c r="E45" s="6">
        <v>2.25</v>
      </c>
    </row>
    <row r="46" spans="1:5" x14ac:dyDescent="0.25">
      <c r="A46" s="7">
        <v>36394</v>
      </c>
      <c r="B46" s="3" t="s">
        <v>5</v>
      </c>
      <c r="C46" s="4" t="s">
        <v>25</v>
      </c>
      <c r="D46" s="5" t="s">
        <v>17</v>
      </c>
      <c r="E46" s="6">
        <v>3.75</v>
      </c>
    </row>
    <row r="47" spans="1:5" x14ac:dyDescent="0.25">
      <c r="A47" s="2">
        <v>36458</v>
      </c>
      <c r="B47" s="3" t="s">
        <v>5</v>
      </c>
      <c r="C47" s="4" t="s">
        <v>6</v>
      </c>
      <c r="D47" s="5" t="s">
        <v>11</v>
      </c>
      <c r="E47" s="6">
        <v>8</v>
      </c>
    </row>
    <row r="48" spans="1:5" x14ac:dyDescent="0.25">
      <c r="A48" s="2">
        <v>36397</v>
      </c>
      <c r="B48" s="3" t="s">
        <v>5</v>
      </c>
      <c r="C48" s="4" t="s">
        <v>6</v>
      </c>
      <c r="D48" s="5" t="s">
        <v>11</v>
      </c>
      <c r="E48" s="6">
        <v>8</v>
      </c>
    </row>
    <row r="49" spans="1:5" x14ac:dyDescent="0.25">
      <c r="A49" s="2">
        <v>36428</v>
      </c>
      <c r="B49" s="4" t="s">
        <v>5</v>
      </c>
      <c r="C49" s="4" t="s">
        <v>6</v>
      </c>
      <c r="D49" s="5" t="s">
        <v>20</v>
      </c>
      <c r="E49" s="6">
        <v>10.5</v>
      </c>
    </row>
    <row r="50" spans="1:5" x14ac:dyDescent="0.25">
      <c r="A50" s="7">
        <v>36428</v>
      </c>
      <c r="B50" s="3" t="s">
        <v>5</v>
      </c>
      <c r="C50" s="4" t="s">
        <v>24</v>
      </c>
      <c r="D50" s="5" t="s">
        <v>15</v>
      </c>
      <c r="E50" s="6">
        <v>4.25</v>
      </c>
    </row>
    <row r="51" spans="1:5" x14ac:dyDescent="0.25">
      <c r="A51" s="2">
        <v>36400</v>
      </c>
      <c r="B51" s="3" t="s">
        <v>5</v>
      </c>
      <c r="C51" s="4" t="s">
        <v>6</v>
      </c>
      <c r="D51" s="5" t="s">
        <v>19</v>
      </c>
      <c r="E51" s="6">
        <v>6.5</v>
      </c>
    </row>
    <row r="52" spans="1:5" x14ac:dyDescent="0.25">
      <c r="A52" s="7">
        <v>36400</v>
      </c>
      <c r="B52" s="3" t="s">
        <v>5</v>
      </c>
      <c r="C52" s="4" t="s">
        <v>25</v>
      </c>
      <c r="D52" s="5" t="s">
        <v>12</v>
      </c>
      <c r="E52" s="6">
        <v>3</v>
      </c>
    </row>
    <row r="53" spans="1:5" x14ac:dyDescent="0.25">
      <c r="A53" s="2">
        <v>36220</v>
      </c>
      <c r="B53" s="4" t="s">
        <v>10</v>
      </c>
      <c r="C53" s="4" t="s">
        <v>21</v>
      </c>
      <c r="D53" s="5" t="s">
        <v>18</v>
      </c>
      <c r="E53" s="6">
        <v>16</v>
      </c>
    </row>
    <row r="54" spans="1:5" x14ac:dyDescent="0.25">
      <c r="A54" s="7">
        <v>36291</v>
      </c>
      <c r="B54" s="3" t="s">
        <v>10</v>
      </c>
      <c r="C54" s="4" t="s">
        <v>6</v>
      </c>
      <c r="D54" s="5" t="s">
        <v>11</v>
      </c>
      <c r="E54" s="6">
        <v>5.5</v>
      </c>
    </row>
    <row r="55" spans="1:5" x14ac:dyDescent="0.25">
      <c r="A55" s="7">
        <v>36333</v>
      </c>
      <c r="B55" s="3" t="s">
        <v>10</v>
      </c>
      <c r="C55" s="4" t="s">
        <v>6</v>
      </c>
      <c r="D55" s="5" t="s">
        <v>20</v>
      </c>
      <c r="E55" s="6">
        <v>6.5</v>
      </c>
    </row>
    <row r="56" spans="1:5" x14ac:dyDescent="0.25">
      <c r="A56" s="7">
        <v>36323</v>
      </c>
      <c r="B56" s="3" t="s">
        <v>10</v>
      </c>
      <c r="C56" s="4" t="s">
        <v>21</v>
      </c>
      <c r="D56" s="5" t="s">
        <v>7</v>
      </c>
      <c r="E56" s="6">
        <v>23</v>
      </c>
    </row>
    <row r="57" spans="1:5" x14ac:dyDescent="0.25">
      <c r="A57" s="7">
        <v>36325</v>
      </c>
      <c r="B57" s="4" t="s">
        <v>10</v>
      </c>
      <c r="C57" s="4" t="s">
        <v>21</v>
      </c>
      <c r="D57" s="5" t="s">
        <v>20</v>
      </c>
      <c r="E57" s="6">
        <v>17</v>
      </c>
    </row>
    <row r="58" spans="1:5" x14ac:dyDescent="0.25">
      <c r="A58" s="7">
        <v>36322</v>
      </c>
      <c r="B58" s="3" t="s">
        <v>10</v>
      </c>
      <c r="C58" s="4" t="s">
        <v>25</v>
      </c>
      <c r="D58" s="5" t="s">
        <v>22</v>
      </c>
      <c r="E58" s="6">
        <v>3</v>
      </c>
    </row>
    <row r="59" spans="1:5" x14ac:dyDescent="0.25">
      <c r="A59" s="7">
        <v>36411</v>
      </c>
      <c r="B59" s="3" t="s">
        <v>10</v>
      </c>
      <c r="C59" s="4" t="s">
        <v>26</v>
      </c>
      <c r="D59" s="5" t="s">
        <v>22</v>
      </c>
      <c r="E59" s="6">
        <v>3</v>
      </c>
    </row>
    <row r="60" spans="1:5" x14ac:dyDescent="0.25">
      <c r="A60" s="2">
        <v>36505</v>
      </c>
      <c r="B60" s="3" t="s">
        <v>10</v>
      </c>
      <c r="C60" s="4" t="s">
        <v>21</v>
      </c>
      <c r="D60" s="5" t="s">
        <v>17</v>
      </c>
      <c r="E60" s="6">
        <v>23.5</v>
      </c>
    </row>
    <row r="61" spans="1:5" x14ac:dyDescent="0.25">
      <c r="A61" s="2">
        <v>36384</v>
      </c>
      <c r="B61" s="3" t="s">
        <v>10</v>
      </c>
      <c r="C61" s="4" t="s">
        <v>21</v>
      </c>
      <c r="D61" s="5" t="s">
        <v>22</v>
      </c>
      <c r="E61" s="6">
        <v>22</v>
      </c>
    </row>
    <row r="62" spans="1:5" x14ac:dyDescent="0.25">
      <c r="A62" s="2">
        <v>36386</v>
      </c>
      <c r="B62" s="4" t="s">
        <v>10</v>
      </c>
      <c r="C62" s="4" t="s">
        <v>21</v>
      </c>
      <c r="D62" s="5" t="s">
        <v>14</v>
      </c>
      <c r="E62" s="6">
        <v>20</v>
      </c>
    </row>
    <row r="63" spans="1:5" x14ac:dyDescent="0.25">
      <c r="A63" s="7">
        <v>36387</v>
      </c>
      <c r="B63" s="3" t="s">
        <v>10</v>
      </c>
      <c r="C63" s="4" t="s">
        <v>6</v>
      </c>
      <c r="D63" s="5" t="s">
        <v>16</v>
      </c>
      <c r="E63" s="6">
        <v>5.5</v>
      </c>
    </row>
    <row r="64" spans="1:5" x14ac:dyDescent="0.25">
      <c r="A64" s="7">
        <v>36420</v>
      </c>
      <c r="B64" s="4" t="s">
        <v>10</v>
      </c>
      <c r="C64" s="4" t="s">
        <v>21</v>
      </c>
      <c r="D64" s="5" t="s">
        <v>18</v>
      </c>
      <c r="E64" s="6">
        <v>19</v>
      </c>
    </row>
    <row r="65" spans="1:5" x14ac:dyDescent="0.25">
      <c r="A65" s="7">
        <v>36389</v>
      </c>
      <c r="B65" s="3" t="s">
        <v>10</v>
      </c>
      <c r="C65" s="4" t="s">
        <v>25</v>
      </c>
      <c r="D65" s="5" t="s">
        <v>7</v>
      </c>
      <c r="E65" s="6">
        <v>3.5</v>
      </c>
    </row>
    <row r="66" spans="1:5" x14ac:dyDescent="0.25">
      <c r="A66" s="7">
        <v>36397</v>
      </c>
      <c r="B66" s="3" t="s">
        <v>10</v>
      </c>
      <c r="C66" s="4" t="s">
        <v>6</v>
      </c>
      <c r="D66" s="5" t="s">
        <v>11</v>
      </c>
      <c r="E66" s="6">
        <v>7</v>
      </c>
    </row>
    <row r="67" spans="1:5" x14ac:dyDescent="0.25">
      <c r="A67" s="7">
        <v>36490</v>
      </c>
      <c r="B67" s="3" t="s">
        <v>10</v>
      </c>
      <c r="C67" s="4" t="s">
        <v>21</v>
      </c>
      <c r="D67" s="5" t="s">
        <v>7</v>
      </c>
      <c r="E67" s="6">
        <v>22</v>
      </c>
    </row>
    <row r="68" spans="1:5" x14ac:dyDescent="0.25">
      <c r="A68" s="7">
        <v>36461</v>
      </c>
      <c r="B68" s="3" t="s">
        <v>10</v>
      </c>
      <c r="C68" s="4" t="s">
        <v>26</v>
      </c>
      <c r="D68" s="5" t="s">
        <v>22</v>
      </c>
      <c r="E68" s="6">
        <v>6</v>
      </c>
    </row>
    <row r="69" spans="1:5" x14ac:dyDescent="0.25">
      <c r="A69" s="7">
        <v>36221</v>
      </c>
      <c r="B69" s="3" t="s">
        <v>9</v>
      </c>
      <c r="C69" s="4" t="s">
        <v>25</v>
      </c>
      <c r="D69" s="5" t="s">
        <v>16</v>
      </c>
      <c r="E69" s="6">
        <v>4.5</v>
      </c>
    </row>
    <row r="70" spans="1:5" x14ac:dyDescent="0.25">
      <c r="A70" s="2">
        <v>36346</v>
      </c>
      <c r="B70" s="3" t="s">
        <v>9</v>
      </c>
      <c r="C70" s="4" t="s">
        <v>25</v>
      </c>
      <c r="D70" s="5" t="s">
        <v>12</v>
      </c>
      <c r="E70" s="6">
        <v>3</v>
      </c>
    </row>
    <row r="71" spans="1:5" x14ac:dyDescent="0.25">
      <c r="A71" s="2">
        <v>36348</v>
      </c>
      <c r="B71" s="3" t="s">
        <v>9</v>
      </c>
      <c r="C71" s="4" t="s">
        <v>25</v>
      </c>
      <c r="D71" s="5" t="s">
        <v>18</v>
      </c>
      <c r="E71" s="6">
        <v>3.5</v>
      </c>
    </row>
    <row r="72" spans="1:5" x14ac:dyDescent="0.25">
      <c r="A72" s="7">
        <v>36380</v>
      </c>
      <c r="B72" s="3" t="s">
        <v>9</v>
      </c>
      <c r="C72" s="4" t="s">
        <v>26</v>
      </c>
      <c r="D72" s="5" t="s">
        <v>18</v>
      </c>
      <c r="E72" s="6">
        <v>5.25</v>
      </c>
    </row>
    <row r="73" spans="1:5" x14ac:dyDescent="0.25">
      <c r="A73" s="7">
        <v>36506</v>
      </c>
      <c r="B73" s="3" t="s">
        <v>9</v>
      </c>
      <c r="C73" s="4" t="s">
        <v>6</v>
      </c>
      <c r="D73" s="5" t="s">
        <v>7</v>
      </c>
      <c r="E73" s="6">
        <v>5.5</v>
      </c>
    </row>
    <row r="74" spans="1:5" x14ac:dyDescent="0.25">
      <c r="A74" s="7">
        <v>36387</v>
      </c>
      <c r="B74" s="3" t="s">
        <v>9</v>
      </c>
      <c r="C74" s="4" t="s">
        <v>6</v>
      </c>
      <c r="D74" s="5" t="s">
        <v>11</v>
      </c>
      <c r="E74" s="6">
        <v>8</v>
      </c>
    </row>
    <row r="75" spans="1:5" x14ac:dyDescent="0.25">
      <c r="A75" s="7">
        <v>36418</v>
      </c>
      <c r="B75" s="3" t="s">
        <v>9</v>
      </c>
      <c r="C75" s="4" t="s">
        <v>6</v>
      </c>
      <c r="D75" s="5" t="s">
        <v>16</v>
      </c>
      <c r="E75" s="6">
        <v>5.5</v>
      </c>
    </row>
    <row r="76" spans="1:5" x14ac:dyDescent="0.25">
      <c r="A76" s="2">
        <v>36418</v>
      </c>
      <c r="B76" s="3" t="s">
        <v>9</v>
      </c>
      <c r="C76" s="4" t="s">
        <v>25</v>
      </c>
      <c r="D76" s="5" t="s">
        <v>11</v>
      </c>
      <c r="E76" s="6">
        <v>4</v>
      </c>
    </row>
    <row r="77" spans="1:5" x14ac:dyDescent="0.25">
      <c r="A77" s="7">
        <v>36389</v>
      </c>
      <c r="B77" s="3" t="s">
        <v>9</v>
      </c>
      <c r="C77" s="4" t="s">
        <v>25</v>
      </c>
      <c r="D77" s="5" t="s">
        <v>7</v>
      </c>
      <c r="E77" s="6">
        <v>3.5</v>
      </c>
    </row>
    <row r="78" spans="1:5" x14ac:dyDescent="0.25">
      <c r="A78" s="7">
        <v>36390</v>
      </c>
      <c r="B78" s="3" t="s">
        <v>9</v>
      </c>
      <c r="C78" s="4" t="s">
        <v>23</v>
      </c>
      <c r="D78" s="5" t="s">
        <v>12</v>
      </c>
      <c r="E78" s="6">
        <v>7</v>
      </c>
    </row>
    <row r="79" spans="1:5" x14ac:dyDescent="0.25">
      <c r="A79" s="7">
        <v>36390</v>
      </c>
      <c r="B79" s="3" t="s">
        <v>9</v>
      </c>
      <c r="C79" s="4" t="s">
        <v>26</v>
      </c>
      <c r="D79" s="5" t="s">
        <v>15</v>
      </c>
      <c r="E79" s="6">
        <v>6</v>
      </c>
    </row>
    <row r="80" spans="1:5" x14ac:dyDescent="0.25">
      <c r="A80" s="7">
        <v>36390</v>
      </c>
      <c r="B80" s="3" t="s">
        <v>9</v>
      </c>
      <c r="C80" s="4" t="s">
        <v>26</v>
      </c>
      <c r="D80" s="5" t="s">
        <v>22</v>
      </c>
      <c r="E80" s="6">
        <v>6</v>
      </c>
    </row>
    <row r="81" spans="1:5" x14ac:dyDescent="0.25">
      <c r="A81" s="2">
        <v>36391</v>
      </c>
      <c r="B81" s="3" t="s">
        <v>9</v>
      </c>
      <c r="C81" s="4" t="s">
        <v>6</v>
      </c>
      <c r="D81" s="5" t="s">
        <v>7</v>
      </c>
      <c r="E81" s="6">
        <v>8</v>
      </c>
    </row>
    <row r="82" spans="1:5" x14ac:dyDescent="0.25">
      <c r="A82" s="2">
        <v>36393</v>
      </c>
      <c r="B82" s="3" t="s">
        <v>9</v>
      </c>
      <c r="C82" s="4" t="s">
        <v>6</v>
      </c>
      <c r="D82" s="5" t="s">
        <v>12</v>
      </c>
      <c r="E82" s="6">
        <v>6</v>
      </c>
    </row>
    <row r="83" spans="1:5" x14ac:dyDescent="0.25">
      <c r="A83" s="7">
        <v>36455</v>
      </c>
      <c r="B83" s="3" t="s">
        <v>9</v>
      </c>
      <c r="C83" s="4" t="s">
        <v>25</v>
      </c>
      <c r="D83" s="5" t="s">
        <v>7</v>
      </c>
      <c r="E83" s="6">
        <v>3</v>
      </c>
    </row>
    <row r="84" spans="1:5" x14ac:dyDescent="0.25">
      <c r="A84" s="7">
        <v>36395</v>
      </c>
      <c r="B84" s="3" t="s">
        <v>9</v>
      </c>
      <c r="C84" s="4" t="s">
        <v>6</v>
      </c>
      <c r="D84" s="5" t="s">
        <v>15</v>
      </c>
      <c r="E84" s="6">
        <v>6</v>
      </c>
    </row>
    <row r="85" spans="1:5" x14ac:dyDescent="0.25">
      <c r="A85" s="2">
        <v>36397</v>
      </c>
      <c r="B85" s="3" t="s">
        <v>9</v>
      </c>
      <c r="C85" s="4" t="s">
        <v>25</v>
      </c>
      <c r="D85" s="5" t="s">
        <v>14</v>
      </c>
      <c r="E85" s="6">
        <v>3.25</v>
      </c>
    </row>
    <row r="86" spans="1:5" x14ac:dyDescent="0.25">
      <c r="A86" s="7">
        <v>36492</v>
      </c>
      <c r="B86" s="3" t="s">
        <v>9</v>
      </c>
      <c r="C86" s="4" t="s">
        <v>23</v>
      </c>
      <c r="D86" s="5" t="s">
        <v>7</v>
      </c>
      <c r="E86" s="6">
        <v>9</v>
      </c>
    </row>
    <row r="87" spans="1:5" x14ac:dyDescent="0.25">
      <c r="A87" s="7">
        <v>36431</v>
      </c>
      <c r="B87" s="3" t="s">
        <v>9</v>
      </c>
      <c r="C87" s="4" t="s">
        <v>23</v>
      </c>
      <c r="D87" s="5" t="s">
        <v>17</v>
      </c>
      <c r="E87" s="6">
        <v>8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6308-D87F-4FD3-B58A-28EAE2DE88E6}">
  <dimension ref="A1:L87"/>
  <sheetViews>
    <sheetView workbookViewId="0">
      <selection activeCell="J18" sqref="J18"/>
    </sheetView>
  </sheetViews>
  <sheetFormatPr defaultRowHeight="15" x14ac:dyDescent="0.25"/>
  <cols>
    <col min="1" max="1" width="9.85546875" bestFit="1" customWidth="1"/>
    <col min="2" max="2" width="9.85546875" customWidth="1"/>
    <col min="3" max="3" width="20" bestFit="1" customWidth="1"/>
    <col min="4" max="4" width="21" bestFit="1" customWidth="1"/>
    <col min="5" max="5" width="28.28515625" bestFit="1" customWidth="1"/>
    <col min="6" max="6" width="15" bestFit="1" customWidth="1"/>
    <col min="10" max="10" width="30.42578125" bestFit="1" customWidth="1"/>
    <col min="11" max="11" width="15.5703125" bestFit="1" customWidth="1"/>
    <col min="12" max="12" width="10.5703125" bestFit="1" customWidth="1"/>
  </cols>
  <sheetData>
    <row r="1" spans="1:12" ht="73.5" customHeight="1" x14ac:dyDescent="0.25"/>
    <row r="2" spans="1:12" x14ac:dyDescent="0.25">
      <c r="A2" s="1" t="s">
        <v>0</v>
      </c>
      <c r="B2" s="1" t="s">
        <v>34</v>
      </c>
      <c r="C2" s="1" t="s">
        <v>1</v>
      </c>
      <c r="D2" s="1" t="s">
        <v>2</v>
      </c>
      <c r="E2" s="1" t="s">
        <v>3</v>
      </c>
      <c r="F2" s="1" t="s">
        <v>4</v>
      </c>
      <c r="K2" t="s">
        <v>32</v>
      </c>
      <c r="L2" s="8"/>
    </row>
    <row r="3" spans="1:12" x14ac:dyDescent="0.25">
      <c r="A3" s="7">
        <v>36162</v>
      </c>
      <c r="B3" s="31">
        <f>MONTH(A3)</f>
        <v>1</v>
      </c>
      <c r="C3" s="3" t="s">
        <v>13</v>
      </c>
      <c r="D3" s="4" t="s">
        <v>25</v>
      </c>
      <c r="E3" s="5" t="s">
        <v>16</v>
      </c>
      <c r="F3" s="6">
        <v>4.75</v>
      </c>
      <c r="K3">
        <v>12</v>
      </c>
    </row>
    <row r="4" spans="1:12" x14ac:dyDescent="0.25">
      <c r="A4" s="7">
        <v>36252</v>
      </c>
      <c r="B4" s="31">
        <f t="shared" ref="B4:B67" si="0">MONTH(A4)</f>
        <v>4</v>
      </c>
      <c r="C4" s="3" t="s">
        <v>13</v>
      </c>
      <c r="D4" s="4" t="s">
        <v>25</v>
      </c>
      <c r="E4" s="5" t="s">
        <v>19</v>
      </c>
      <c r="F4" s="6">
        <v>3.25</v>
      </c>
      <c r="J4" t="s">
        <v>28</v>
      </c>
      <c r="K4" t="s">
        <v>33</v>
      </c>
    </row>
    <row r="5" spans="1:12" x14ac:dyDescent="0.25">
      <c r="A5" s="7">
        <v>36225</v>
      </c>
      <c r="B5" s="31">
        <f t="shared" si="0"/>
        <v>3</v>
      </c>
      <c r="C5" s="3" t="s">
        <v>13</v>
      </c>
      <c r="D5" s="4" t="s">
        <v>25</v>
      </c>
      <c r="E5" s="5" t="s">
        <v>20</v>
      </c>
      <c r="F5" s="6">
        <v>3.25</v>
      </c>
      <c r="J5" s="3" t="s">
        <v>13</v>
      </c>
      <c r="K5" s="23">
        <f>SUMIFS($F$3:$F$87,$C$3:$C$87,J5,$B$3:$B$87,$K$3)</f>
        <v>24</v>
      </c>
    </row>
    <row r="6" spans="1:12" x14ac:dyDescent="0.25">
      <c r="A6" s="2">
        <v>36282</v>
      </c>
      <c r="B6" s="31">
        <f t="shared" si="0"/>
        <v>5</v>
      </c>
      <c r="C6" s="3" t="s">
        <v>13</v>
      </c>
      <c r="D6" s="4" t="s">
        <v>6</v>
      </c>
      <c r="E6" s="5" t="s">
        <v>14</v>
      </c>
      <c r="F6" s="6">
        <v>8</v>
      </c>
      <c r="J6" s="3" t="s">
        <v>8</v>
      </c>
      <c r="K6" s="23">
        <f t="shared" ref="K6:K9" si="1">SUMIFS($F$3:$F$87,$C$3:$C$87,J6,$B$3:$B$87,$K$3)</f>
        <v>24</v>
      </c>
    </row>
    <row r="7" spans="1:12" x14ac:dyDescent="0.25">
      <c r="A7" s="2">
        <v>36380</v>
      </c>
      <c r="B7" s="31">
        <f t="shared" si="0"/>
        <v>8</v>
      </c>
      <c r="C7" s="3" t="s">
        <v>13</v>
      </c>
      <c r="D7" s="4" t="s">
        <v>25</v>
      </c>
      <c r="E7" s="5" t="s">
        <v>20</v>
      </c>
      <c r="F7" s="6">
        <v>5</v>
      </c>
      <c r="J7" s="3" t="s">
        <v>5</v>
      </c>
      <c r="K7" s="23">
        <f t="shared" si="1"/>
        <v>0</v>
      </c>
    </row>
    <row r="8" spans="1:12" x14ac:dyDescent="0.25">
      <c r="A8" s="2">
        <v>36414</v>
      </c>
      <c r="B8" s="31">
        <f t="shared" si="0"/>
        <v>9</v>
      </c>
      <c r="C8" s="3" t="s">
        <v>13</v>
      </c>
      <c r="D8" s="4" t="s">
        <v>25</v>
      </c>
      <c r="E8" s="5" t="s">
        <v>17</v>
      </c>
      <c r="F8" s="6">
        <v>3.5</v>
      </c>
      <c r="J8" s="4" t="s">
        <v>10</v>
      </c>
      <c r="K8" s="23">
        <f t="shared" si="1"/>
        <v>23.5</v>
      </c>
    </row>
    <row r="9" spans="1:12" x14ac:dyDescent="0.25">
      <c r="A9" s="7">
        <v>36384</v>
      </c>
      <c r="B9" s="31">
        <f t="shared" si="0"/>
        <v>8</v>
      </c>
      <c r="C9" s="3" t="s">
        <v>13</v>
      </c>
      <c r="D9" s="4" t="s">
        <v>6</v>
      </c>
      <c r="E9" s="5" t="s">
        <v>14</v>
      </c>
      <c r="F9" s="6">
        <v>7.5</v>
      </c>
      <c r="J9" s="3" t="s">
        <v>9</v>
      </c>
      <c r="K9" s="23">
        <f t="shared" si="1"/>
        <v>5.5</v>
      </c>
    </row>
    <row r="10" spans="1:12" x14ac:dyDescent="0.25">
      <c r="A10" s="2">
        <v>36415</v>
      </c>
      <c r="B10" s="31">
        <f t="shared" si="0"/>
        <v>9</v>
      </c>
      <c r="C10" s="3" t="s">
        <v>13</v>
      </c>
      <c r="D10" s="4" t="s">
        <v>25</v>
      </c>
      <c r="E10" s="5" t="s">
        <v>12</v>
      </c>
      <c r="F10" s="6">
        <v>4.25</v>
      </c>
    </row>
    <row r="11" spans="1:12" x14ac:dyDescent="0.25">
      <c r="A11" s="2">
        <v>36386</v>
      </c>
      <c r="B11" s="31">
        <f t="shared" si="0"/>
        <v>8</v>
      </c>
      <c r="C11" s="3" t="s">
        <v>13</v>
      </c>
      <c r="D11" s="4" t="s">
        <v>26</v>
      </c>
      <c r="E11" s="5" t="s">
        <v>18</v>
      </c>
      <c r="F11" s="6">
        <v>9.5</v>
      </c>
    </row>
    <row r="12" spans="1:12" x14ac:dyDescent="0.25">
      <c r="A12" s="7">
        <v>36387</v>
      </c>
      <c r="B12" s="31">
        <f t="shared" si="0"/>
        <v>8</v>
      </c>
      <c r="C12" s="3" t="s">
        <v>13</v>
      </c>
      <c r="D12" s="4" t="s">
        <v>24</v>
      </c>
      <c r="E12" s="5" t="s">
        <v>11</v>
      </c>
      <c r="F12" s="6">
        <v>9</v>
      </c>
    </row>
    <row r="13" spans="1:12" x14ac:dyDescent="0.25">
      <c r="A13" s="7">
        <v>36387</v>
      </c>
      <c r="B13" s="31">
        <f t="shared" si="0"/>
        <v>8</v>
      </c>
      <c r="C13" s="3" t="s">
        <v>13</v>
      </c>
      <c r="D13" s="4" t="s">
        <v>26</v>
      </c>
      <c r="E13" s="5" t="s">
        <v>20</v>
      </c>
      <c r="F13" s="6">
        <v>7</v>
      </c>
    </row>
    <row r="14" spans="1:12" x14ac:dyDescent="0.25">
      <c r="A14" s="7">
        <v>36425</v>
      </c>
      <c r="B14" s="31">
        <f t="shared" si="0"/>
        <v>9</v>
      </c>
      <c r="C14" s="3" t="s">
        <v>13</v>
      </c>
      <c r="D14" s="4" t="s">
        <v>6</v>
      </c>
      <c r="E14" s="5" t="s">
        <v>12</v>
      </c>
      <c r="F14" s="6">
        <v>9.75</v>
      </c>
    </row>
    <row r="15" spans="1:12" x14ac:dyDescent="0.25">
      <c r="A15" s="7">
        <v>36427</v>
      </c>
      <c r="B15" s="31">
        <f t="shared" si="0"/>
        <v>9</v>
      </c>
      <c r="C15" s="3" t="s">
        <v>13</v>
      </c>
      <c r="D15" s="4" t="s">
        <v>25</v>
      </c>
      <c r="E15" s="5" t="s">
        <v>20</v>
      </c>
      <c r="F15" s="6">
        <v>5.5</v>
      </c>
    </row>
    <row r="16" spans="1:12" x14ac:dyDescent="0.25">
      <c r="A16" s="2">
        <v>36488</v>
      </c>
      <c r="B16" s="31">
        <f t="shared" si="0"/>
        <v>11</v>
      </c>
      <c r="C16" s="3" t="s">
        <v>13</v>
      </c>
      <c r="D16" s="4" t="s">
        <v>26</v>
      </c>
      <c r="E16" s="5" t="s">
        <v>14</v>
      </c>
      <c r="F16" s="6">
        <v>8</v>
      </c>
    </row>
    <row r="17" spans="1:6" x14ac:dyDescent="0.25">
      <c r="A17" s="2">
        <v>36400</v>
      </c>
      <c r="B17" s="31">
        <f t="shared" si="0"/>
        <v>8</v>
      </c>
      <c r="C17" s="3" t="s">
        <v>13</v>
      </c>
      <c r="D17" s="4" t="s">
        <v>25</v>
      </c>
      <c r="E17" s="5" t="s">
        <v>17</v>
      </c>
      <c r="F17" s="6">
        <v>5.5</v>
      </c>
    </row>
    <row r="18" spans="1:6" x14ac:dyDescent="0.25">
      <c r="A18" s="2">
        <v>36505</v>
      </c>
      <c r="B18" s="31">
        <f t="shared" si="0"/>
        <v>12</v>
      </c>
      <c r="C18" s="4" t="s">
        <v>13</v>
      </c>
      <c r="D18" s="4" t="s">
        <v>21</v>
      </c>
      <c r="E18" s="5" t="s">
        <v>16</v>
      </c>
      <c r="F18" s="6">
        <v>24</v>
      </c>
    </row>
    <row r="19" spans="1:6" x14ac:dyDescent="0.25">
      <c r="A19" s="7">
        <v>36193</v>
      </c>
      <c r="B19" s="31">
        <f t="shared" si="0"/>
        <v>2</v>
      </c>
      <c r="C19" s="3" t="s">
        <v>8</v>
      </c>
      <c r="D19" s="4" t="s">
        <v>25</v>
      </c>
      <c r="E19" s="5" t="s">
        <v>16</v>
      </c>
      <c r="F19" s="6">
        <v>2</v>
      </c>
    </row>
    <row r="20" spans="1:6" x14ac:dyDescent="0.25">
      <c r="A20" s="2">
        <v>36375</v>
      </c>
      <c r="B20" s="31">
        <f t="shared" si="0"/>
        <v>8</v>
      </c>
      <c r="C20" s="3" t="s">
        <v>8</v>
      </c>
      <c r="D20" s="4" t="s">
        <v>21</v>
      </c>
      <c r="E20" s="5" t="s">
        <v>20</v>
      </c>
      <c r="F20" s="6">
        <v>20</v>
      </c>
    </row>
    <row r="21" spans="1:6" x14ac:dyDescent="0.25">
      <c r="A21" s="2">
        <v>36257</v>
      </c>
      <c r="B21" s="31">
        <f t="shared" si="0"/>
        <v>4</v>
      </c>
      <c r="C21" s="3" t="s">
        <v>8</v>
      </c>
      <c r="D21" s="4" t="s">
        <v>26</v>
      </c>
      <c r="E21" s="5" t="s">
        <v>16</v>
      </c>
      <c r="F21" s="6">
        <v>4</v>
      </c>
    </row>
    <row r="22" spans="1:6" x14ac:dyDescent="0.25">
      <c r="A22" s="7">
        <v>36328</v>
      </c>
      <c r="B22" s="31">
        <f t="shared" si="0"/>
        <v>6</v>
      </c>
      <c r="C22" s="3" t="s">
        <v>8</v>
      </c>
      <c r="D22" s="4" t="s">
        <v>25</v>
      </c>
      <c r="E22" s="5" t="s">
        <v>15</v>
      </c>
      <c r="F22" s="6">
        <v>3.5</v>
      </c>
    </row>
    <row r="23" spans="1:6" x14ac:dyDescent="0.25">
      <c r="A23" s="2">
        <v>36363</v>
      </c>
      <c r="B23" s="31">
        <f t="shared" si="0"/>
        <v>7</v>
      </c>
      <c r="C23" s="3" t="s">
        <v>8</v>
      </c>
      <c r="D23" s="4" t="s">
        <v>23</v>
      </c>
      <c r="E23" s="5" t="s">
        <v>15</v>
      </c>
      <c r="F23" s="6">
        <v>6.5</v>
      </c>
    </row>
    <row r="24" spans="1:6" x14ac:dyDescent="0.25">
      <c r="A24" s="2">
        <v>36381</v>
      </c>
      <c r="B24" s="31">
        <f t="shared" si="0"/>
        <v>8</v>
      </c>
      <c r="C24" s="3" t="s">
        <v>8</v>
      </c>
      <c r="D24" s="4" t="s">
        <v>6</v>
      </c>
      <c r="E24" s="5" t="s">
        <v>7</v>
      </c>
      <c r="F24" s="6">
        <v>8</v>
      </c>
    </row>
    <row r="25" spans="1:6" x14ac:dyDescent="0.25">
      <c r="A25" s="2">
        <v>36385</v>
      </c>
      <c r="B25" s="31">
        <f t="shared" si="0"/>
        <v>8</v>
      </c>
      <c r="C25" s="3" t="s">
        <v>8</v>
      </c>
      <c r="D25" s="4" t="s">
        <v>6</v>
      </c>
      <c r="E25" s="5" t="s">
        <v>18</v>
      </c>
      <c r="F25" s="6">
        <v>6</v>
      </c>
    </row>
    <row r="26" spans="1:6" x14ac:dyDescent="0.25">
      <c r="A26" s="2">
        <v>36418</v>
      </c>
      <c r="B26" s="31">
        <f t="shared" si="0"/>
        <v>9</v>
      </c>
      <c r="C26" s="3" t="s">
        <v>8</v>
      </c>
      <c r="D26" s="4" t="s">
        <v>6</v>
      </c>
      <c r="E26" s="5" t="s">
        <v>11</v>
      </c>
      <c r="F26" s="6">
        <v>8</v>
      </c>
    </row>
    <row r="27" spans="1:6" x14ac:dyDescent="0.25">
      <c r="A27" s="7">
        <v>36448</v>
      </c>
      <c r="B27" s="31">
        <f t="shared" si="0"/>
        <v>10</v>
      </c>
      <c r="C27" s="3" t="s">
        <v>8</v>
      </c>
      <c r="D27" s="4" t="s">
        <v>26</v>
      </c>
      <c r="E27" s="5" t="s">
        <v>11</v>
      </c>
      <c r="F27" s="6">
        <v>3.5</v>
      </c>
    </row>
    <row r="28" spans="1:6" x14ac:dyDescent="0.25">
      <c r="A28" s="2">
        <v>36390</v>
      </c>
      <c r="B28" s="31">
        <f t="shared" si="0"/>
        <v>8</v>
      </c>
      <c r="C28" s="3" t="s">
        <v>8</v>
      </c>
      <c r="D28" s="4" t="s">
        <v>6</v>
      </c>
      <c r="E28" s="5" t="s">
        <v>17</v>
      </c>
      <c r="F28" s="6">
        <v>7</v>
      </c>
    </row>
    <row r="29" spans="1:6" x14ac:dyDescent="0.25">
      <c r="A29" s="2">
        <v>36390</v>
      </c>
      <c r="B29" s="31">
        <f t="shared" si="0"/>
        <v>8</v>
      </c>
      <c r="C29" s="3" t="s">
        <v>8</v>
      </c>
      <c r="D29" s="4" t="s">
        <v>23</v>
      </c>
      <c r="E29" s="5" t="s">
        <v>14</v>
      </c>
      <c r="F29" s="6">
        <v>7.5</v>
      </c>
    </row>
    <row r="30" spans="1:6" x14ac:dyDescent="0.25">
      <c r="A30" s="7">
        <v>36394</v>
      </c>
      <c r="B30" s="31">
        <f t="shared" si="0"/>
        <v>8</v>
      </c>
      <c r="C30" s="3" t="s">
        <v>8</v>
      </c>
      <c r="D30" s="4" t="s">
        <v>25</v>
      </c>
      <c r="E30" s="5" t="s">
        <v>15</v>
      </c>
      <c r="F30" s="6">
        <v>3</v>
      </c>
    </row>
    <row r="31" spans="1:6" x14ac:dyDescent="0.25">
      <c r="A31" s="2">
        <v>36396</v>
      </c>
      <c r="B31" s="31">
        <f t="shared" si="0"/>
        <v>8</v>
      </c>
      <c r="C31" s="3" t="s">
        <v>8</v>
      </c>
      <c r="D31" s="4" t="s">
        <v>21</v>
      </c>
      <c r="E31" s="5" t="s">
        <v>12</v>
      </c>
      <c r="F31" s="6">
        <v>27.5</v>
      </c>
    </row>
    <row r="32" spans="1:6" x14ac:dyDescent="0.25">
      <c r="A32" s="7">
        <v>36491</v>
      </c>
      <c r="B32" s="31">
        <f t="shared" si="0"/>
        <v>11</v>
      </c>
      <c r="C32" s="3" t="s">
        <v>8</v>
      </c>
      <c r="D32" s="4" t="s">
        <v>25</v>
      </c>
      <c r="E32" s="5" t="s">
        <v>20</v>
      </c>
      <c r="F32" s="6">
        <v>3.75</v>
      </c>
    </row>
    <row r="33" spans="1:6" x14ac:dyDescent="0.25">
      <c r="A33" s="2">
        <v>36504</v>
      </c>
      <c r="B33" s="31">
        <f t="shared" si="0"/>
        <v>12</v>
      </c>
      <c r="C33" s="3" t="s">
        <v>8</v>
      </c>
      <c r="D33" s="4" t="s">
        <v>21</v>
      </c>
      <c r="E33" s="5" t="s">
        <v>15</v>
      </c>
      <c r="F33" s="6">
        <v>24</v>
      </c>
    </row>
    <row r="34" spans="1:6" x14ac:dyDescent="0.25">
      <c r="A34" s="7">
        <v>36162</v>
      </c>
      <c r="B34" s="31">
        <f t="shared" si="0"/>
        <v>1</v>
      </c>
      <c r="C34" s="3" t="s">
        <v>5</v>
      </c>
      <c r="D34" s="4" t="s">
        <v>25</v>
      </c>
      <c r="E34" s="5" t="s">
        <v>15</v>
      </c>
      <c r="F34" s="6">
        <v>3</v>
      </c>
    </row>
    <row r="35" spans="1:6" x14ac:dyDescent="0.25">
      <c r="A35" s="2">
        <v>36221</v>
      </c>
      <c r="B35" s="31">
        <f t="shared" si="0"/>
        <v>3</v>
      </c>
      <c r="C35" s="3" t="s">
        <v>5</v>
      </c>
      <c r="D35" s="4" t="s">
        <v>26</v>
      </c>
      <c r="E35" s="5" t="s">
        <v>19</v>
      </c>
      <c r="F35" s="6">
        <v>4</v>
      </c>
    </row>
    <row r="36" spans="1:6" x14ac:dyDescent="0.25">
      <c r="A36" s="2">
        <v>36295</v>
      </c>
      <c r="B36" s="31">
        <f t="shared" si="0"/>
        <v>5</v>
      </c>
      <c r="C36" s="3" t="s">
        <v>5</v>
      </c>
      <c r="D36" s="4" t="s">
        <v>6</v>
      </c>
      <c r="E36" s="5" t="s">
        <v>7</v>
      </c>
      <c r="F36" s="6">
        <v>8</v>
      </c>
    </row>
    <row r="37" spans="1:6" x14ac:dyDescent="0.25">
      <c r="A37" s="7">
        <v>36364</v>
      </c>
      <c r="B37" s="31">
        <f t="shared" si="0"/>
        <v>7</v>
      </c>
      <c r="C37" s="3" t="s">
        <v>5</v>
      </c>
      <c r="D37" s="4" t="s">
        <v>26</v>
      </c>
      <c r="E37" s="5" t="s">
        <v>11</v>
      </c>
      <c r="F37" s="6">
        <v>3.5</v>
      </c>
    </row>
    <row r="38" spans="1:6" x14ac:dyDescent="0.25">
      <c r="A38" s="2">
        <v>36357</v>
      </c>
      <c r="B38" s="31">
        <f t="shared" si="0"/>
        <v>7</v>
      </c>
      <c r="C38" s="3" t="s">
        <v>5</v>
      </c>
      <c r="D38" s="4" t="s">
        <v>26</v>
      </c>
      <c r="E38" s="5" t="s">
        <v>16</v>
      </c>
      <c r="F38" s="6">
        <v>4</v>
      </c>
    </row>
    <row r="39" spans="1:6" x14ac:dyDescent="0.25">
      <c r="A39" s="2">
        <v>36363</v>
      </c>
      <c r="B39" s="31">
        <f t="shared" si="0"/>
        <v>7</v>
      </c>
      <c r="C39" s="3" t="s">
        <v>5</v>
      </c>
      <c r="D39" s="4" t="s">
        <v>6</v>
      </c>
      <c r="E39" s="5" t="s">
        <v>12</v>
      </c>
      <c r="F39" s="6">
        <v>7</v>
      </c>
    </row>
    <row r="40" spans="1:6" x14ac:dyDescent="0.25">
      <c r="A40" s="2">
        <v>36364</v>
      </c>
      <c r="B40" s="31">
        <f t="shared" si="0"/>
        <v>7</v>
      </c>
      <c r="C40" s="3" t="s">
        <v>5</v>
      </c>
      <c r="D40" s="4" t="s">
        <v>6</v>
      </c>
      <c r="E40" s="5" t="s">
        <v>17</v>
      </c>
      <c r="F40" s="6">
        <v>7</v>
      </c>
    </row>
    <row r="41" spans="1:6" x14ac:dyDescent="0.25">
      <c r="A41" s="2">
        <v>36383</v>
      </c>
      <c r="B41" s="31">
        <f t="shared" si="0"/>
        <v>8</v>
      </c>
      <c r="C41" s="3" t="s">
        <v>5</v>
      </c>
      <c r="D41" s="4" t="s">
        <v>25</v>
      </c>
      <c r="E41" s="5" t="s">
        <v>17</v>
      </c>
      <c r="F41" s="6">
        <v>3.5</v>
      </c>
    </row>
    <row r="42" spans="1:6" x14ac:dyDescent="0.25">
      <c r="A42" s="2">
        <v>36476</v>
      </c>
      <c r="B42" s="31">
        <f t="shared" si="0"/>
        <v>11</v>
      </c>
      <c r="C42" s="3" t="s">
        <v>5</v>
      </c>
      <c r="D42" s="4" t="s">
        <v>25</v>
      </c>
      <c r="E42" s="5" t="s">
        <v>12</v>
      </c>
      <c r="F42" s="6">
        <v>3.25</v>
      </c>
    </row>
    <row r="43" spans="1:6" x14ac:dyDescent="0.25">
      <c r="A43" s="7">
        <v>36387</v>
      </c>
      <c r="B43" s="31">
        <f t="shared" si="0"/>
        <v>8</v>
      </c>
      <c r="C43" s="3" t="s">
        <v>5</v>
      </c>
      <c r="D43" s="4" t="s">
        <v>24</v>
      </c>
      <c r="E43" s="5" t="s">
        <v>11</v>
      </c>
      <c r="F43" s="6">
        <v>4</v>
      </c>
    </row>
    <row r="44" spans="1:6" x14ac:dyDescent="0.25">
      <c r="A44" s="7">
        <v>36387</v>
      </c>
      <c r="B44" s="31">
        <f t="shared" si="0"/>
        <v>8</v>
      </c>
      <c r="C44" s="3" t="s">
        <v>5</v>
      </c>
      <c r="D44" s="4" t="s">
        <v>26</v>
      </c>
      <c r="E44" s="5" t="s">
        <v>20</v>
      </c>
      <c r="F44" s="6">
        <v>5</v>
      </c>
    </row>
    <row r="45" spans="1:6" x14ac:dyDescent="0.25">
      <c r="A45" s="7">
        <v>36390</v>
      </c>
      <c r="B45" s="31">
        <f t="shared" si="0"/>
        <v>8</v>
      </c>
      <c r="C45" s="3" t="s">
        <v>5</v>
      </c>
      <c r="D45" s="4" t="s">
        <v>25</v>
      </c>
      <c r="E45" s="5" t="s">
        <v>19</v>
      </c>
      <c r="F45" s="6">
        <v>2.25</v>
      </c>
    </row>
    <row r="46" spans="1:6" x14ac:dyDescent="0.25">
      <c r="A46" s="7">
        <v>36394</v>
      </c>
      <c r="B46" s="31">
        <f t="shared" si="0"/>
        <v>8</v>
      </c>
      <c r="C46" s="3" t="s">
        <v>5</v>
      </c>
      <c r="D46" s="4" t="s">
        <v>25</v>
      </c>
      <c r="E46" s="5" t="s">
        <v>17</v>
      </c>
      <c r="F46" s="6">
        <v>3.75</v>
      </c>
    </row>
    <row r="47" spans="1:6" x14ac:dyDescent="0.25">
      <c r="A47" s="2">
        <v>36458</v>
      </c>
      <c r="B47" s="31">
        <f t="shared" si="0"/>
        <v>10</v>
      </c>
      <c r="C47" s="3" t="s">
        <v>5</v>
      </c>
      <c r="D47" s="4" t="s">
        <v>6</v>
      </c>
      <c r="E47" s="5" t="s">
        <v>11</v>
      </c>
      <c r="F47" s="6">
        <v>8</v>
      </c>
    </row>
    <row r="48" spans="1:6" x14ac:dyDescent="0.25">
      <c r="A48" s="2">
        <v>36397</v>
      </c>
      <c r="B48" s="31">
        <f t="shared" si="0"/>
        <v>8</v>
      </c>
      <c r="C48" s="3" t="s">
        <v>5</v>
      </c>
      <c r="D48" s="4" t="s">
        <v>6</v>
      </c>
      <c r="E48" s="5" t="s">
        <v>11</v>
      </c>
      <c r="F48" s="6">
        <v>8</v>
      </c>
    </row>
    <row r="49" spans="1:6" x14ac:dyDescent="0.25">
      <c r="A49" s="2">
        <v>36428</v>
      </c>
      <c r="B49" s="31">
        <f t="shared" si="0"/>
        <v>9</v>
      </c>
      <c r="C49" s="4" t="s">
        <v>5</v>
      </c>
      <c r="D49" s="4" t="s">
        <v>6</v>
      </c>
      <c r="E49" s="5" t="s">
        <v>20</v>
      </c>
      <c r="F49" s="6">
        <v>10.5</v>
      </c>
    </row>
    <row r="50" spans="1:6" x14ac:dyDescent="0.25">
      <c r="A50" s="7">
        <v>36428</v>
      </c>
      <c r="B50" s="31">
        <f t="shared" si="0"/>
        <v>9</v>
      </c>
      <c r="C50" s="3" t="s">
        <v>5</v>
      </c>
      <c r="D50" s="4" t="s">
        <v>24</v>
      </c>
      <c r="E50" s="5" t="s">
        <v>15</v>
      </c>
      <c r="F50" s="6">
        <v>4.25</v>
      </c>
    </row>
    <row r="51" spans="1:6" x14ac:dyDescent="0.25">
      <c r="A51" s="2">
        <v>36400</v>
      </c>
      <c r="B51" s="31">
        <f t="shared" si="0"/>
        <v>8</v>
      </c>
      <c r="C51" s="3" t="s">
        <v>5</v>
      </c>
      <c r="D51" s="4" t="s">
        <v>6</v>
      </c>
      <c r="E51" s="5" t="s">
        <v>19</v>
      </c>
      <c r="F51" s="6">
        <v>6.5</v>
      </c>
    </row>
    <row r="52" spans="1:6" x14ac:dyDescent="0.25">
      <c r="A52" s="7">
        <v>36400</v>
      </c>
      <c r="B52" s="31">
        <f t="shared" si="0"/>
        <v>8</v>
      </c>
      <c r="C52" s="3" t="s">
        <v>5</v>
      </c>
      <c r="D52" s="4" t="s">
        <v>25</v>
      </c>
      <c r="E52" s="5" t="s">
        <v>12</v>
      </c>
      <c r="F52" s="6">
        <v>3</v>
      </c>
    </row>
    <row r="53" spans="1:6" x14ac:dyDescent="0.25">
      <c r="A53" s="2">
        <v>36220</v>
      </c>
      <c r="B53" s="31">
        <f t="shared" si="0"/>
        <v>3</v>
      </c>
      <c r="C53" s="4" t="s">
        <v>10</v>
      </c>
      <c r="D53" s="4" t="s">
        <v>21</v>
      </c>
      <c r="E53" s="5" t="s">
        <v>18</v>
      </c>
      <c r="F53" s="6">
        <v>16</v>
      </c>
    </row>
    <row r="54" spans="1:6" x14ac:dyDescent="0.25">
      <c r="A54" s="7">
        <v>36291</v>
      </c>
      <c r="B54" s="31">
        <f t="shared" si="0"/>
        <v>5</v>
      </c>
      <c r="C54" s="3" t="s">
        <v>10</v>
      </c>
      <c r="D54" s="4" t="s">
        <v>6</v>
      </c>
      <c r="E54" s="5" t="s">
        <v>11</v>
      </c>
      <c r="F54" s="6">
        <v>5.5</v>
      </c>
    </row>
    <row r="55" spans="1:6" x14ac:dyDescent="0.25">
      <c r="A55" s="7">
        <v>36333</v>
      </c>
      <c r="B55" s="31">
        <f t="shared" si="0"/>
        <v>6</v>
      </c>
      <c r="C55" s="3" t="s">
        <v>10</v>
      </c>
      <c r="D55" s="4" t="s">
        <v>6</v>
      </c>
      <c r="E55" s="5" t="s">
        <v>20</v>
      </c>
      <c r="F55" s="6">
        <v>6.5</v>
      </c>
    </row>
    <row r="56" spans="1:6" x14ac:dyDescent="0.25">
      <c r="A56" s="7">
        <v>36323</v>
      </c>
      <c r="B56" s="31">
        <f t="shared" si="0"/>
        <v>6</v>
      </c>
      <c r="C56" s="3" t="s">
        <v>10</v>
      </c>
      <c r="D56" s="4" t="s">
        <v>21</v>
      </c>
      <c r="E56" s="5" t="s">
        <v>7</v>
      </c>
      <c r="F56" s="6">
        <v>23</v>
      </c>
    </row>
    <row r="57" spans="1:6" x14ac:dyDescent="0.25">
      <c r="A57" s="7">
        <v>36325</v>
      </c>
      <c r="B57" s="31">
        <f t="shared" si="0"/>
        <v>6</v>
      </c>
      <c r="C57" s="4" t="s">
        <v>10</v>
      </c>
      <c r="D57" s="4" t="s">
        <v>21</v>
      </c>
      <c r="E57" s="5" t="s">
        <v>20</v>
      </c>
      <c r="F57" s="6">
        <v>17</v>
      </c>
    </row>
    <row r="58" spans="1:6" x14ac:dyDescent="0.25">
      <c r="A58" s="7">
        <v>36322</v>
      </c>
      <c r="B58" s="31">
        <f t="shared" si="0"/>
        <v>6</v>
      </c>
      <c r="C58" s="3" t="s">
        <v>10</v>
      </c>
      <c r="D58" s="4" t="s">
        <v>25</v>
      </c>
      <c r="E58" s="5" t="s">
        <v>22</v>
      </c>
      <c r="F58" s="6">
        <v>3</v>
      </c>
    </row>
    <row r="59" spans="1:6" x14ac:dyDescent="0.25">
      <c r="A59" s="7">
        <v>36411</v>
      </c>
      <c r="B59" s="31">
        <f t="shared" si="0"/>
        <v>9</v>
      </c>
      <c r="C59" s="3" t="s">
        <v>10</v>
      </c>
      <c r="D59" s="4" t="s">
        <v>26</v>
      </c>
      <c r="E59" s="5" t="s">
        <v>22</v>
      </c>
      <c r="F59" s="6">
        <v>3</v>
      </c>
    </row>
    <row r="60" spans="1:6" x14ac:dyDescent="0.25">
      <c r="A60" s="2">
        <v>36505</v>
      </c>
      <c r="B60" s="31">
        <f t="shared" si="0"/>
        <v>12</v>
      </c>
      <c r="C60" s="3" t="s">
        <v>10</v>
      </c>
      <c r="D60" s="4" t="s">
        <v>21</v>
      </c>
      <c r="E60" s="5" t="s">
        <v>17</v>
      </c>
      <c r="F60" s="6">
        <v>23.5</v>
      </c>
    </row>
    <row r="61" spans="1:6" x14ac:dyDescent="0.25">
      <c r="A61" s="2">
        <v>36384</v>
      </c>
      <c r="B61" s="31">
        <f t="shared" si="0"/>
        <v>8</v>
      </c>
      <c r="C61" s="3" t="s">
        <v>10</v>
      </c>
      <c r="D61" s="4" t="s">
        <v>21</v>
      </c>
      <c r="E61" s="5" t="s">
        <v>22</v>
      </c>
      <c r="F61" s="6">
        <v>22</v>
      </c>
    </row>
    <row r="62" spans="1:6" x14ac:dyDescent="0.25">
      <c r="A62" s="2">
        <v>36386</v>
      </c>
      <c r="B62" s="31">
        <f t="shared" si="0"/>
        <v>8</v>
      </c>
      <c r="C62" s="4" t="s">
        <v>10</v>
      </c>
      <c r="D62" s="4" t="s">
        <v>21</v>
      </c>
      <c r="E62" s="5" t="s">
        <v>14</v>
      </c>
      <c r="F62" s="6">
        <v>20</v>
      </c>
    </row>
    <row r="63" spans="1:6" x14ac:dyDescent="0.25">
      <c r="A63" s="7">
        <v>36387</v>
      </c>
      <c r="B63" s="31">
        <f t="shared" si="0"/>
        <v>8</v>
      </c>
      <c r="C63" s="3" t="s">
        <v>10</v>
      </c>
      <c r="D63" s="4" t="s">
        <v>6</v>
      </c>
      <c r="E63" s="5" t="s">
        <v>16</v>
      </c>
      <c r="F63" s="6">
        <v>5.5</v>
      </c>
    </row>
    <row r="64" spans="1:6" x14ac:dyDescent="0.25">
      <c r="A64" s="7">
        <v>36420</v>
      </c>
      <c r="B64" s="31">
        <f t="shared" si="0"/>
        <v>9</v>
      </c>
      <c r="C64" s="4" t="s">
        <v>10</v>
      </c>
      <c r="D64" s="4" t="s">
        <v>21</v>
      </c>
      <c r="E64" s="5" t="s">
        <v>18</v>
      </c>
      <c r="F64" s="6">
        <v>19</v>
      </c>
    </row>
    <row r="65" spans="1:6" x14ac:dyDescent="0.25">
      <c r="A65" s="7">
        <v>36389</v>
      </c>
      <c r="B65" s="31">
        <f t="shared" si="0"/>
        <v>8</v>
      </c>
      <c r="C65" s="3" t="s">
        <v>10</v>
      </c>
      <c r="D65" s="4" t="s">
        <v>25</v>
      </c>
      <c r="E65" s="5" t="s">
        <v>7</v>
      </c>
      <c r="F65" s="6">
        <v>3.5</v>
      </c>
    </row>
    <row r="66" spans="1:6" x14ac:dyDescent="0.25">
      <c r="A66" s="7">
        <v>36397</v>
      </c>
      <c r="B66" s="31">
        <f t="shared" si="0"/>
        <v>8</v>
      </c>
      <c r="C66" s="3" t="s">
        <v>10</v>
      </c>
      <c r="D66" s="4" t="s">
        <v>6</v>
      </c>
      <c r="E66" s="5" t="s">
        <v>11</v>
      </c>
      <c r="F66" s="6">
        <v>7</v>
      </c>
    </row>
    <row r="67" spans="1:6" x14ac:dyDescent="0.25">
      <c r="A67" s="7">
        <v>36490</v>
      </c>
      <c r="B67" s="31">
        <f t="shared" si="0"/>
        <v>11</v>
      </c>
      <c r="C67" s="3" t="s">
        <v>10</v>
      </c>
      <c r="D67" s="4" t="s">
        <v>21</v>
      </c>
      <c r="E67" s="5" t="s">
        <v>7</v>
      </c>
      <c r="F67" s="6">
        <v>22</v>
      </c>
    </row>
    <row r="68" spans="1:6" x14ac:dyDescent="0.25">
      <c r="A68" s="7">
        <v>36461</v>
      </c>
      <c r="B68" s="31">
        <f t="shared" ref="B68:B87" si="2">MONTH(A68)</f>
        <v>10</v>
      </c>
      <c r="C68" s="3" t="s">
        <v>10</v>
      </c>
      <c r="D68" s="4" t="s">
        <v>26</v>
      </c>
      <c r="E68" s="5" t="s">
        <v>22</v>
      </c>
      <c r="F68" s="6">
        <v>6</v>
      </c>
    </row>
    <row r="69" spans="1:6" x14ac:dyDescent="0.25">
      <c r="A69" s="7">
        <v>36221</v>
      </c>
      <c r="B69" s="31">
        <f t="shared" si="2"/>
        <v>3</v>
      </c>
      <c r="C69" s="3" t="s">
        <v>9</v>
      </c>
      <c r="D69" s="4" t="s">
        <v>25</v>
      </c>
      <c r="E69" s="5" t="s">
        <v>16</v>
      </c>
      <c r="F69" s="6">
        <v>4.5</v>
      </c>
    </row>
    <row r="70" spans="1:6" x14ac:dyDescent="0.25">
      <c r="A70" s="2">
        <v>36346</v>
      </c>
      <c r="B70" s="31">
        <f t="shared" si="2"/>
        <v>7</v>
      </c>
      <c r="C70" s="3" t="s">
        <v>9</v>
      </c>
      <c r="D70" s="4" t="s">
        <v>25</v>
      </c>
      <c r="E70" s="5" t="s">
        <v>12</v>
      </c>
      <c r="F70" s="6">
        <v>3</v>
      </c>
    </row>
    <row r="71" spans="1:6" x14ac:dyDescent="0.25">
      <c r="A71" s="2">
        <v>36348</v>
      </c>
      <c r="B71" s="31">
        <f t="shared" si="2"/>
        <v>7</v>
      </c>
      <c r="C71" s="3" t="s">
        <v>9</v>
      </c>
      <c r="D71" s="4" t="s">
        <v>25</v>
      </c>
      <c r="E71" s="5" t="s">
        <v>18</v>
      </c>
      <c r="F71" s="6">
        <v>3.5</v>
      </c>
    </row>
    <row r="72" spans="1:6" x14ac:dyDescent="0.25">
      <c r="A72" s="7">
        <v>36380</v>
      </c>
      <c r="B72" s="31">
        <f t="shared" si="2"/>
        <v>8</v>
      </c>
      <c r="C72" s="3" t="s">
        <v>9</v>
      </c>
      <c r="D72" s="4" t="s">
        <v>26</v>
      </c>
      <c r="E72" s="5" t="s">
        <v>18</v>
      </c>
      <c r="F72" s="6">
        <v>5.25</v>
      </c>
    </row>
    <row r="73" spans="1:6" x14ac:dyDescent="0.25">
      <c r="A73" s="7">
        <v>36506</v>
      </c>
      <c r="B73" s="31">
        <f t="shared" si="2"/>
        <v>12</v>
      </c>
      <c r="C73" s="3" t="s">
        <v>9</v>
      </c>
      <c r="D73" s="4" t="s">
        <v>6</v>
      </c>
      <c r="E73" s="5" t="s">
        <v>7</v>
      </c>
      <c r="F73" s="6">
        <v>5.5</v>
      </c>
    </row>
    <row r="74" spans="1:6" x14ac:dyDescent="0.25">
      <c r="A74" s="7">
        <v>36387</v>
      </c>
      <c r="B74" s="31">
        <f t="shared" si="2"/>
        <v>8</v>
      </c>
      <c r="C74" s="3" t="s">
        <v>9</v>
      </c>
      <c r="D74" s="4" t="s">
        <v>6</v>
      </c>
      <c r="E74" s="5" t="s">
        <v>11</v>
      </c>
      <c r="F74" s="6">
        <v>8</v>
      </c>
    </row>
    <row r="75" spans="1:6" x14ac:dyDescent="0.25">
      <c r="A75" s="7">
        <v>36418</v>
      </c>
      <c r="B75" s="31">
        <f t="shared" si="2"/>
        <v>9</v>
      </c>
      <c r="C75" s="3" t="s">
        <v>9</v>
      </c>
      <c r="D75" s="4" t="s">
        <v>6</v>
      </c>
      <c r="E75" s="5" t="s">
        <v>16</v>
      </c>
      <c r="F75" s="6">
        <v>5.5</v>
      </c>
    </row>
    <row r="76" spans="1:6" x14ac:dyDescent="0.25">
      <c r="A76" s="2">
        <v>36418</v>
      </c>
      <c r="B76" s="31">
        <f t="shared" si="2"/>
        <v>9</v>
      </c>
      <c r="C76" s="3" t="s">
        <v>9</v>
      </c>
      <c r="D76" s="4" t="s">
        <v>25</v>
      </c>
      <c r="E76" s="5" t="s">
        <v>11</v>
      </c>
      <c r="F76" s="6">
        <v>4</v>
      </c>
    </row>
    <row r="77" spans="1:6" x14ac:dyDescent="0.25">
      <c r="A77" s="7">
        <v>36389</v>
      </c>
      <c r="B77" s="31">
        <f t="shared" si="2"/>
        <v>8</v>
      </c>
      <c r="C77" s="3" t="s">
        <v>9</v>
      </c>
      <c r="D77" s="4" t="s">
        <v>25</v>
      </c>
      <c r="E77" s="5" t="s">
        <v>7</v>
      </c>
      <c r="F77" s="6">
        <v>3.5</v>
      </c>
    </row>
    <row r="78" spans="1:6" x14ac:dyDescent="0.25">
      <c r="A78" s="7">
        <v>36390</v>
      </c>
      <c r="B78" s="31">
        <f t="shared" si="2"/>
        <v>8</v>
      </c>
      <c r="C78" s="3" t="s">
        <v>9</v>
      </c>
      <c r="D78" s="4" t="s">
        <v>23</v>
      </c>
      <c r="E78" s="5" t="s">
        <v>12</v>
      </c>
      <c r="F78" s="6">
        <v>7</v>
      </c>
    </row>
    <row r="79" spans="1:6" x14ac:dyDescent="0.25">
      <c r="A79" s="7">
        <v>36390</v>
      </c>
      <c r="B79" s="31">
        <f t="shared" si="2"/>
        <v>8</v>
      </c>
      <c r="C79" s="3" t="s">
        <v>9</v>
      </c>
      <c r="D79" s="4" t="s">
        <v>26</v>
      </c>
      <c r="E79" s="5" t="s">
        <v>15</v>
      </c>
      <c r="F79" s="6">
        <v>6</v>
      </c>
    </row>
    <row r="80" spans="1:6" x14ac:dyDescent="0.25">
      <c r="A80" s="7">
        <v>36390</v>
      </c>
      <c r="B80" s="31">
        <f t="shared" si="2"/>
        <v>8</v>
      </c>
      <c r="C80" s="3" t="s">
        <v>9</v>
      </c>
      <c r="D80" s="4" t="s">
        <v>26</v>
      </c>
      <c r="E80" s="5" t="s">
        <v>22</v>
      </c>
      <c r="F80" s="6">
        <v>6</v>
      </c>
    </row>
    <row r="81" spans="1:6" x14ac:dyDescent="0.25">
      <c r="A81" s="2">
        <v>36391</v>
      </c>
      <c r="B81" s="31">
        <f t="shared" si="2"/>
        <v>8</v>
      </c>
      <c r="C81" s="3" t="s">
        <v>9</v>
      </c>
      <c r="D81" s="4" t="s">
        <v>6</v>
      </c>
      <c r="E81" s="5" t="s">
        <v>7</v>
      </c>
      <c r="F81" s="6">
        <v>8</v>
      </c>
    </row>
    <row r="82" spans="1:6" x14ac:dyDescent="0.25">
      <c r="A82" s="2">
        <v>36393</v>
      </c>
      <c r="B82" s="31">
        <f t="shared" si="2"/>
        <v>8</v>
      </c>
      <c r="C82" s="3" t="s">
        <v>9</v>
      </c>
      <c r="D82" s="4" t="s">
        <v>6</v>
      </c>
      <c r="E82" s="5" t="s">
        <v>12</v>
      </c>
      <c r="F82" s="6">
        <v>6</v>
      </c>
    </row>
    <row r="83" spans="1:6" x14ac:dyDescent="0.25">
      <c r="A83" s="7">
        <v>36455</v>
      </c>
      <c r="B83" s="31">
        <f t="shared" si="2"/>
        <v>10</v>
      </c>
      <c r="C83" s="3" t="s">
        <v>9</v>
      </c>
      <c r="D83" s="4" t="s">
        <v>25</v>
      </c>
      <c r="E83" s="5" t="s">
        <v>7</v>
      </c>
      <c r="F83" s="6">
        <v>3</v>
      </c>
    </row>
    <row r="84" spans="1:6" x14ac:dyDescent="0.25">
      <c r="A84" s="7">
        <v>36395</v>
      </c>
      <c r="B84" s="31">
        <f t="shared" si="2"/>
        <v>8</v>
      </c>
      <c r="C84" s="3" t="s">
        <v>9</v>
      </c>
      <c r="D84" s="4" t="s">
        <v>6</v>
      </c>
      <c r="E84" s="5" t="s">
        <v>15</v>
      </c>
      <c r="F84" s="6">
        <v>6</v>
      </c>
    </row>
    <row r="85" spans="1:6" x14ac:dyDescent="0.25">
      <c r="A85" s="2">
        <v>36397</v>
      </c>
      <c r="B85" s="31">
        <f t="shared" si="2"/>
        <v>8</v>
      </c>
      <c r="C85" s="3" t="s">
        <v>9</v>
      </c>
      <c r="D85" s="4" t="s">
        <v>25</v>
      </c>
      <c r="E85" s="5" t="s">
        <v>14</v>
      </c>
      <c r="F85" s="6">
        <v>3.25</v>
      </c>
    </row>
    <row r="86" spans="1:6" x14ac:dyDescent="0.25">
      <c r="A86" s="7">
        <v>36492</v>
      </c>
      <c r="B86" s="31">
        <f t="shared" si="2"/>
        <v>11</v>
      </c>
      <c r="C86" s="3" t="s">
        <v>9</v>
      </c>
      <c r="D86" s="4" t="s">
        <v>23</v>
      </c>
      <c r="E86" s="5" t="s">
        <v>7</v>
      </c>
      <c r="F86" s="6">
        <v>9</v>
      </c>
    </row>
    <row r="87" spans="1:6" x14ac:dyDescent="0.25">
      <c r="A87" s="7">
        <v>36431</v>
      </c>
      <c r="B87" s="31">
        <f t="shared" si="2"/>
        <v>9</v>
      </c>
      <c r="C87" s="3" t="s">
        <v>9</v>
      </c>
      <c r="D87" s="4" t="s">
        <v>23</v>
      </c>
      <c r="E87" s="5" t="s">
        <v>17</v>
      </c>
      <c r="F87" s="6">
        <v>8</v>
      </c>
    </row>
  </sheetData>
  <dataValidations count="1">
    <dataValidation type="list" allowBlank="1" showInputMessage="1" showErrorMessage="1" sqref="K3" xr:uid="{E995D8AE-CDF6-43CA-A757-42EE1F710E33}">
      <formula1>"1,2,3,4,5,6,7,8,9,10,11,12"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SumaJeżeli1</vt:lpstr>
      <vt:lpstr>SumaJeżeli2</vt:lpstr>
      <vt:lpstr>SumaWarunków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Piotrek</dc:creator>
  <cp:lastModifiedBy>Mariusz Staręga</cp:lastModifiedBy>
  <dcterms:created xsi:type="dcterms:W3CDTF">2022-05-30T08:51:47Z</dcterms:created>
  <dcterms:modified xsi:type="dcterms:W3CDTF">2026-09-16T06:14:14Z</dcterms:modified>
</cp:coreProperties>
</file>