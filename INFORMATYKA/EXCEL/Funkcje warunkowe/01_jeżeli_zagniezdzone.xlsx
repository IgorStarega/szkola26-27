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szkola26-27\INFORMATYKA\EXCEL\Funkcje warunkowe\"/>
    </mc:Choice>
  </mc:AlternateContent>
  <xr:revisionPtr revIDLastSave="0" documentId="13_ncr:1_{1788401C-892F-4DE3-819B-4DB9C12D3905}" xr6:coauthVersionLast="47" xr6:coauthVersionMax="47" xr10:uidLastSave="{00000000-0000-0000-0000-000000000000}"/>
  <bookViews>
    <workbookView xWindow="-120" yWindow="-120" windowWidth="29040" windowHeight="17520" firstSheet="2" activeTab="9" xr2:uid="{89DA18B8-B64E-40AE-8D06-446EEFE4363F}"/>
  </bookViews>
  <sheets>
    <sheet name="jezeli1" sheetId="2" r:id="rId1"/>
    <sheet name="jeżeli2" sheetId="1" r:id="rId2"/>
    <sheet name="drugie imię" sheetId="3" r:id="rId3"/>
    <sheet name="jezeli lub oraz" sheetId="4" r:id="rId4"/>
    <sheet name="część całkowita" sheetId="5" r:id="rId5"/>
    <sheet name="jeżeli 3" sheetId="6" r:id="rId6"/>
    <sheet name="część całkowita (mod)" sheetId="7" r:id="rId7"/>
    <sheet name="jeżeli 3 (mod)" sheetId="8" r:id="rId8"/>
    <sheet name="jeżeli 4" sheetId="9" r:id="rId9"/>
    <sheet name="jeżeli 5" sheetId="10" r:id="rId10"/>
  </sheets>
  <externalReferences>
    <externalReference r:id="rId11"/>
  </externalReferences>
  <definedNames>
    <definedName name="Access_Button" hidden="1">"baza_Baza_danych_Lista"</definedName>
    <definedName name="AccessDatabase" hidden="1">"C:\WINDOWS\Profiles\zbych\Pulpit\baza.mdb"</definedName>
    <definedName name="obszar">[1]Arkusz3!$B$4:$G$12</definedName>
    <definedName name="zakres">[1]Arkusz3!$B$4:$G$12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8" l="1"/>
  <c r="F11" i="8"/>
  <c r="F10" i="8"/>
  <c r="F9" i="8"/>
  <c r="F8" i="8"/>
  <c r="E12" i="8"/>
  <c r="E11" i="8"/>
  <c r="E10" i="8"/>
  <c r="E9" i="8"/>
  <c r="E8" i="8"/>
  <c r="D12" i="8"/>
  <c r="D11" i="8"/>
  <c r="D10" i="8"/>
  <c r="D9" i="8"/>
  <c r="D8" i="8"/>
  <c r="F12" i="6"/>
  <c r="F11" i="6"/>
  <c r="F10" i="6"/>
  <c r="F9" i="6"/>
  <c r="F8" i="6"/>
  <c r="E12" i="6"/>
  <c r="E11" i="6"/>
  <c r="E10" i="6"/>
  <c r="E9" i="6"/>
  <c r="E8" i="6"/>
  <c r="D12" i="6"/>
  <c r="D11" i="6"/>
  <c r="D10" i="6"/>
  <c r="D9" i="6"/>
  <c r="D8" i="6"/>
  <c r="G8" i="10"/>
  <c r="G7" i="10"/>
  <c r="G6" i="10"/>
  <c r="G5" i="10"/>
  <c r="G4" i="10"/>
  <c r="E8" i="9"/>
  <c r="E7" i="9"/>
  <c r="E6" i="9"/>
  <c r="E5" i="9"/>
  <c r="E4" i="9"/>
  <c r="E6" i="7"/>
  <c r="D6" i="7"/>
  <c r="E6" i="5"/>
  <c r="D6" i="5"/>
  <c r="E4" i="3"/>
  <c r="E5" i="3"/>
  <c r="E6" i="3"/>
  <c r="E7" i="3"/>
  <c r="E8" i="3"/>
  <c r="E3" i="3"/>
  <c r="D4" i="3"/>
  <c r="D5" i="3"/>
  <c r="D6" i="3"/>
  <c r="D7" i="3"/>
  <c r="D8" i="3"/>
  <c r="D3" i="3"/>
  <c r="C3" i="3"/>
  <c r="C4" i="3"/>
  <c r="C5" i="3"/>
  <c r="C6" i="3"/>
  <c r="C7" i="3"/>
  <c r="C8" i="3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I19" i="2"/>
  <c r="H19" i="2"/>
  <c r="I9" i="2"/>
  <c r="I10" i="2"/>
  <c r="I11" i="2"/>
  <c r="I12" i="2"/>
  <c r="I13" i="2"/>
  <c r="I14" i="2"/>
  <c r="I15" i="2"/>
  <c r="I16" i="2"/>
  <c r="I17" i="2"/>
  <c r="I18" i="2"/>
  <c r="I8" i="2"/>
  <c r="H9" i="2"/>
  <c r="H10" i="2"/>
  <c r="H11" i="2"/>
  <c r="H12" i="2"/>
  <c r="H13" i="2"/>
  <c r="H14" i="2"/>
  <c r="H15" i="2"/>
  <c r="H16" i="2"/>
  <c r="H17" i="2"/>
  <c r="H18" i="2"/>
  <c r="H8" i="2"/>
  <c r="G9" i="2"/>
  <c r="G10" i="2"/>
  <c r="G11" i="2"/>
  <c r="G12" i="2"/>
  <c r="G13" i="2"/>
  <c r="G14" i="2"/>
  <c r="G15" i="2"/>
  <c r="G16" i="2"/>
  <c r="G17" i="2"/>
  <c r="G18" i="2"/>
  <c r="G8" i="2"/>
  <c r="F14" i="4"/>
  <c r="G14" i="4" s="1"/>
  <c r="H14" i="4" s="1"/>
  <c r="F13" i="4"/>
  <c r="G13" i="4" s="1"/>
  <c r="H13" i="4" s="1"/>
  <c r="F12" i="4"/>
  <c r="G12" i="4" s="1"/>
  <c r="H12" i="4" s="1"/>
  <c r="F11" i="4"/>
  <c r="G11" i="4" s="1"/>
  <c r="H11" i="4" s="1"/>
  <c r="F10" i="4"/>
  <c r="G10" i="4" s="1"/>
  <c r="H10" i="4" s="1"/>
  <c r="F9" i="4"/>
  <c r="G9" i="4" s="1"/>
  <c r="H9" i="4" s="1"/>
  <c r="F8" i="4"/>
  <c r="G8" i="4" s="1"/>
  <c r="H8" i="4" s="1"/>
  <c r="F7" i="4"/>
  <c r="G7" i="4" s="1"/>
  <c r="H7" i="4" s="1"/>
  <c r="F6" i="4"/>
  <c r="G6" i="4" s="1"/>
  <c r="H6" i="4" s="1"/>
</calcChain>
</file>

<file path=xl/sharedStrings.xml><?xml version="1.0" encoding="utf-8"?>
<sst xmlns="http://schemas.openxmlformats.org/spreadsheetml/2006/main" count="188" uniqueCount="125">
  <si>
    <t>Autoamtyzacja zamówień</t>
  </si>
  <si>
    <t>Nazwa produktu</t>
  </si>
  <si>
    <t>Typ produktu</t>
  </si>
  <si>
    <t>Cena</t>
  </si>
  <si>
    <t>Stan minimalny</t>
  </si>
  <si>
    <t>Zamówić TAK/NIE</t>
  </si>
  <si>
    <t>ile?</t>
  </si>
  <si>
    <t>Mazaki</t>
  </si>
  <si>
    <t>Zeszyty</t>
  </si>
  <si>
    <t>16 katr.</t>
  </si>
  <si>
    <t>60 kartk.</t>
  </si>
  <si>
    <t>100 katrk.</t>
  </si>
  <si>
    <t>Ołówki</t>
  </si>
  <si>
    <t>Gumki</t>
  </si>
  <si>
    <t>Długopisy</t>
  </si>
  <si>
    <t>czarne</t>
  </si>
  <si>
    <t>kolorowe</t>
  </si>
  <si>
    <t>cenkopisy</t>
  </si>
  <si>
    <t>Kredki</t>
  </si>
  <si>
    <t>świecowe</t>
  </si>
  <si>
    <t>ołówkowe</t>
  </si>
  <si>
    <t>Razem</t>
  </si>
  <si>
    <t>Koszt</t>
  </si>
  <si>
    <t>Stan maksymalny</t>
  </si>
  <si>
    <t>Obecny stan magazynu</t>
  </si>
  <si>
    <t>Pomiary</t>
  </si>
  <si>
    <t>Maszyna1</t>
  </si>
  <si>
    <t>Maszyna2</t>
  </si>
  <si>
    <t>Maszyna3</t>
  </si>
  <si>
    <t>Maszyna4</t>
  </si>
  <si>
    <t>Maszyna5</t>
  </si>
  <si>
    <t>Maszyna6</t>
  </si>
  <si>
    <t>Maszyna7</t>
  </si>
  <si>
    <t>Maszyna8</t>
  </si>
  <si>
    <t>Maszyna9</t>
  </si>
  <si>
    <t>Maszyna10</t>
  </si>
  <si>
    <t>Maszyna11</t>
  </si>
  <si>
    <t>Maszyna12</t>
  </si>
  <si>
    <t>Maszyna13</t>
  </si>
  <si>
    <t>Maszyna14</t>
  </si>
  <si>
    <t>Czy takie same</t>
  </si>
  <si>
    <t>imię</t>
  </si>
  <si>
    <t>drugie imię</t>
  </si>
  <si>
    <t>nazwisko</t>
  </si>
  <si>
    <t>pomocnicze</t>
  </si>
  <si>
    <t>Jan Sebastian Abacki</t>
  </si>
  <si>
    <t>Grzeborz Babacki</t>
  </si>
  <si>
    <t>Tomasz Cabacki</t>
  </si>
  <si>
    <t>Krzysztof Mikołaj Dabacki</t>
  </si>
  <si>
    <t>Wojciech Karol Ebacki</t>
  </si>
  <si>
    <t>Zenon Fabacki</t>
  </si>
  <si>
    <t>Lp.</t>
  </si>
  <si>
    <t>Nazwisko</t>
  </si>
  <si>
    <t>Imię</t>
  </si>
  <si>
    <t>Płeć</t>
  </si>
  <si>
    <t>Data urodzenia</t>
  </si>
  <si>
    <t>Data aktualna</t>
  </si>
  <si>
    <t>Wiek</t>
  </si>
  <si>
    <t>Liczba lat do emerytury</t>
  </si>
  <si>
    <t>Ptak</t>
  </si>
  <si>
    <t>Anna</t>
  </si>
  <si>
    <t>K</t>
  </si>
  <si>
    <t>wiek emerytalny kobiet</t>
  </si>
  <si>
    <t>Jagła</t>
  </si>
  <si>
    <t>Ewa</t>
  </si>
  <si>
    <t>wiek emerytalny mężczyzn</t>
  </si>
  <si>
    <t>Skowronek</t>
  </si>
  <si>
    <t>Jan</t>
  </si>
  <si>
    <t>M</t>
  </si>
  <si>
    <t>Wróbel</t>
  </si>
  <si>
    <t>Adam</t>
  </si>
  <si>
    <t>Szpak</t>
  </si>
  <si>
    <t>Tadeusz</t>
  </si>
  <si>
    <t>Sowa</t>
  </si>
  <si>
    <t>Pelagia</t>
  </si>
  <si>
    <t>Wilga</t>
  </si>
  <si>
    <t>Zofia</t>
  </si>
  <si>
    <t>Zając</t>
  </si>
  <si>
    <t>Piotr</t>
  </si>
  <si>
    <t>Kotek</t>
  </si>
  <si>
    <t>liczba</t>
  </si>
  <si>
    <t>dzielimy przez</t>
  </si>
  <si>
    <t>część całkowita</t>
  </si>
  <si>
    <t>reszta</t>
  </si>
  <si>
    <t>towar 5</t>
  </si>
  <si>
    <t>towar 4</t>
  </si>
  <si>
    <t>towar 3</t>
  </si>
  <si>
    <t>towar 2</t>
  </si>
  <si>
    <t>towar 1</t>
  </si>
  <si>
    <t>transport mały</t>
  </si>
  <si>
    <t>transport duży</t>
  </si>
  <si>
    <t>ile palet</t>
  </si>
  <si>
    <t>sztuki</t>
  </si>
  <si>
    <t>Towar</t>
  </si>
  <si>
    <t>płeć</t>
  </si>
  <si>
    <t>waga</t>
  </si>
  <si>
    <t>wiek</t>
  </si>
  <si>
    <t>dawka leku</t>
  </si>
  <si>
    <t>Abacki</t>
  </si>
  <si>
    <t>Abicka</t>
  </si>
  <si>
    <t>Dubicz</t>
  </si>
  <si>
    <t>Zawadzka</t>
  </si>
  <si>
    <t>Zyglet</t>
  </si>
  <si>
    <t>miasto/wieś</t>
  </si>
  <si>
    <t>liczba dzieci</t>
  </si>
  <si>
    <t>wykształcenie</t>
  </si>
  <si>
    <t>udział w projekcie</t>
  </si>
  <si>
    <t>miasto</t>
  </si>
  <si>
    <t>wyższe</t>
  </si>
  <si>
    <t>wieś</t>
  </si>
  <si>
    <t>średnie</t>
  </si>
  <si>
    <t>podstawowe</t>
  </si>
  <si>
    <t>Sebastian</t>
  </si>
  <si>
    <t>Grzeborz</t>
  </si>
  <si>
    <t>Babacki</t>
  </si>
  <si>
    <t>Tomasz</t>
  </si>
  <si>
    <t>Cabacki</t>
  </si>
  <si>
    <t>Krzysztof</t>
  </si>
  <si>
    <t>Mikołaj</t>
  </si>
  <si>
    <t>Dabacki</t>
  </si>
  <si>
    <t>Wojciech</t>
  </si>
  <si>
    <t>Karol</t>
  </si>
  <si>
    <t>Ebacki</t>
  </si>
  <si>
    <t>Zenon</t>
  </si>
  <si>
    <t>Fabacki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</si>
</sst>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color theme="5" tint="-0.499984740745262"/>
      <name val="Arial CE"/>
      <family val="2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8"/>
      <name val="Calibri"/>
      <family val="2"/>
      <charset val="238"/>
      <scheme val="minor"/>
    </font>
    <font>
      <b/>
      <sz val="10"/>
      <color indexed="12"/>
      <name val="Arial CE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3" applyFont="1"/>
    <xf numFmtId="0" fontId="3" fillId="0" borderId="0" xfId="3"/>
    <xf numFmtId="0" fontId="5" fillId="0" borderId="0" xfId="3" applyFont="1"/>
    <xf numFmtId="0" fontId="3" fillId="0" borderId="1" xfId="3" applyBorder="1" applyAlignment="1">
      <alignment horizontal="center" vertical="center"/>
    </xf>
    <xf numFmtId="44" fontId="0" fillId="0" borderId="1" xfId="4" applyFont="1" applyBorder="1"/>
    <xf numFmtId="0" fontId="3" fillId="0" borderId="1" xfId="3" applyBorder="1"/>
    <xf numFmtId="0" fontId="7" fillId="0" borderId="1" xfId="3" applyFont="1" applyBorder="1"/>
    <xf numFmtId="0" fontId="3" fillId="0" borderId="0" xfId="3" applyAlignment="1">
      <alignment horizontal="center"/>
    </xf>
    <xf numFmtId="0" fontId="7" fillId="0" borderId="1" xfId="3" applyFont="1" applyBorder="1" applyAlignment="1">
      <alignment horizontal="center"/>
    </xf>
    <xf numFmtId="0" fontId="3" fillId="0" borderId="1" xfId="3" applyBorder="1" applyAlignment="1">
      <alignment horizontal="left"/>
    </xf>
    <xf numFmtId="0" fontId="7" fillId="4" borderId="1" xfId="3" applyFont="1" applyFill="1" applyBorder="1"/>
    <xf numFmtId="0" fontId="2" fillId="6" borderId="0" xfId="2" applyFill="1"/>
    <xf numFmtId="20" fontId="2" fillId="6" borderId="0" xfId="2" applyNumberFormat="1" applyFill="1"/>
    <xf numFmtId="0" fontId="0" fillId="5" borderId="0" xfId="0" applyFill="1" applyAlignment="1">
      <alignment horizontal="center"/>
    </xf>
    <xf numFmtId="0" fontId="0" fillId="0" borderId="1" xfId="0" applyBorder="1"/>
    <xf numFmtId="0" fontId="1" fillId="2" borderId="0" xfId="1"/>
    <xf numFmtId="0" fontId="3" fillId="0" borderId="0" xfId="3" quotePrefix="1" applyAlignment="1">
      <alignment horizontal="left"/>
    </xf>
    <xf numFmtId="0" fontId="4" fillId="7" borderId="1" xfId="3" quotePrefix="1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  <xf numFmtId="14" fontId="3" fillId="0" borderId="1" xfId="3" applyNumberFormat="1" applyBorder="1"/>
    <xf numFmtId="0" fontId="4" fillId="7" borderId="1" xfId="3" applyFont="1" applyFill="1" applyBorder="1"/>
    <xf numFmtId="0" fontId="0" fillId="8" borderId="1" xfId="0" applyFill="1" applyBorder="1"/>
    <xf numFmtId="0" fontId="6" fillId="0" borderId="2" xfId="3" applyFont="1" applyBorder="1" applyAlignment="1">
      <alignment horizontal="center" vertical="center" textRotation="90" wrapText="1"/>
    </xf>
    <xf numFmtId="0" fontId="6" fillId="0" borderId="3" xfId="3" applyFont="1" applyBorder="1" applyAlignment="1">
      <alignment horizontal="center" vertical="center" textRotation="90" wrapText="1"/>
    </xf>
    <xf numFmtId="0" fontId="3" fillId="0" borderId="1" xfId="3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textRotation="90" wrapText="1"/>
    </xf>
    <xf numFmtId="0" fontId="3" fillId="0" borderId="4" xfId="3" applyBorder="1" applyAlignment="1">
      <alignment horizontal="left"/>
    </xf>
    <xf numFmtId="0" fontId="3" fillId="0" borderId="5" xfId="3" applyBorder="1" applyAlignment="1">
      <alignment horizontal="left"/>
    </xf>
    <xf numFmtId="0" fontId="3" fillId="0" borderId="6" xfId="3" applyBorder="1" applyAlignment="1">
      <alignment horizontal="left"/>
    </xf>
    <xf numFmtId="0" fontId="3" fillId="0" borderId="4" xfId="3" applyBorder="1" applyAlignment="1">
      <alignment wrapText="1"/>
    </xf>
    <xf numFmtId="0" fontId="3" fillId="0" borderId="5" xfId="3" applyBorder="1" applyAlignment="1">
      <alignment wrapText="1"/>
    </xf>
    <xf numFmtId="0" fontId="3" fillId="0" borderId="6" xfId="3" applyBorder="1" applyAlignment="1">
      <alignment wrapText="1"/>
    </xf>
    <xf numFmtId="1" fontId="9" fillId="0" borderId="1" xfId="3" applyNumberFormat="1" applyFont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5">
    <cellStyle name="Akcent 1" xfId="2" builtinId="29"/>
    <cellStyle name="Dobry" xfId="1" builtinId="26"/>
    <cellStyle name="Normalny" xfId="0" builtinId="0"/>
    <cellStyle name="Normalny 2" xfId="3" xr:uid="{02BC3EA8-9281-441A-B09F-C80AC84217F1}"/>
    <cellStyle name="Walutowy 2" xfId="4" xr:uid="{0B033386-B224-4149-A6B0-4130CB0B8D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47625</xdr:rowOff>
    </xdr:from>
    <xdr:to>
      <xdr:col>6</xdr:col>
      <xdr:colOff>409575</xdr:colOff>
      <xdr:row>2</xdr:row>
      <xdr:rowOff>400050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ABC81F26-1212-D638-2C76-FB83DCF31331}"/>
            </a:ext>
          </a:extLst>
        </xdr:cNvPr>
        <xdr:cNvSpPr/>
      </xdr:nvSpPr>
      <xdr:spPr>
        <a:xfrm>
          <a:off x="1914525" y="47625"/>
          <a:ext cx="2781300" cy="676275"/>
        </a:xfrm>
        <a:prstGeom prst="wedgeRoundRectCallout">
          <a:avLst>
            <a:gd name="adj1" fmla="val 55323"/>
            <a:gd name="adj2" fmla="val 200801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Zamównie</a:t>
          </a:r>
          <a:r>
            <a:rPr lang="pl-PL" sz="1100" baseline="0"/>
            <a:t> ma status TAK, jeżeli w magazynie jest mniej niż stan minimalny produktów, w przeciwnym razie NIE</a:t>
          </a:r>
          <a:endParaRPr lang="pl-PL" sz="1100"/>
        </a:p>
      </xdr:txBody>
    </xdr:sp>
    <xdr:clientData/>
  </xdr:twoCellAnchor>
  <xdr:twoCellAnchor>
    <xdr:from>
      <xdr:col>7</xdr:col>
      <xdr:colOff>247650</xdr:colOff>
      <xdr:row>1</xdr:row>
      <xdr:rowOff>104775</xdr:rowOff>
    </xdr:from>
    <xdr:to>
      <xdr:col>11</xdr:col>
      <xdr:colOff>57150</xdr:colOff>
      <xdr:row>2</xdr:row>
      <xdr:rowOff>800100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107F15A7-A6FE-EFBF-9E05-130DE1F6C0E7}"/>
            </a:ext>
          </a:extLst>
        </xdr:cNvPr>
        <xdr:cNvSpPr/>
      </xdr:nvSpPr>
      <xdr:spPr>
        <a:xfrm>
          <a:off x="5324475" y="266700"/>
          <a:ext cx="2609850" cy="857250"/>
        </a:xfrm>
        <a:prstGeom prst="wedgeRoundRectCallout">
          <a:avLst>
            <a:gd name="adj1" fmla="val -44299"/>
            <a:gd name="adj2" fmla="val 131145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Jeżeli</a:t>
          </a:r>
          <a:r>
            <a:rPr lang="pl-PL" sz="1100" baseline="0"/>
            <a:t> zamawiamy, to zamawiamy tyle sztuk, aby dopełnić magazyn do  stanu maksymalnego.</a:t>
          </a:r>
        </a:p>
        <a:p>
          <a:pPr algn="l"/>
          <a:r>
            <a:rPr lang="pl-PL" sz="1100" baseline="0"/>
            <a:t>Jeżeli nie zamawiamy to ma być pusto.  </a:t>
          </a:r>
          <a:endParaRPr lang="pl-PL" sz="1100"/>
        </a:p>
      </xdr:txBody>
    </xdr:sp>
    <xdr:clientData/>
  </xdr:twoCellAnchor>
  <xdr:twoCellAnchor>
    <xdr:from>
      <xdr:col>10</xdr:col>
      <xdr:colOff>200025</xdr:colOff>
      <xdr:row>2</xdr:row>
      <xdr:rowOff>1038225</xdr:rowOff>
    </xdr:from>
    <xdr:to>
      <xdr:col>14</xdr:col>
      <xdr:colOff>371475</xdr:colOff>
      <xdr:row>6</xdr:row>
      <xdr:rowOff>95250</xdr:rowOff>
    </xdr:to>
    <xdr:sp macro="" textlink="">
      <xdr:nvSpPr>
        <xdr:cNvPr id="5" name="Dymek mowy: prostokąt z zaokrąglonymi rogami 4">
          <a:extLst>
            <a:ext uri="{FF2B5EF4-FFF2-40B4-BE49-F238E27FC236}">
              <a16:creationId xmlns:a16="http://schemas.microsoft.com/office/drawing/2014/main" id="{15574E5A-345F-32D5-A64E-D4A23BBA6DB6}"/>
            </a:ext>
          </a:extLst>
        </xdr:cNvPr>
        <xdr:cNvSpPr/>
      </xdr:nvSpPr>
      <xdr:spPr>
        <a:xfrm>
          <a:off x="8258175" y="1362075"/>
          <a:ext cx="2609850" cy="857250"/>
        </a:xfrm>
        <a:prstGeom prst="wedgeRoundRectCallout">
          <a:avLst>
            <a:gd name="adj1" fmla="val -78971"/>
            <a:gd name="adj2" fmla="val 82256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Koszt liczony tylko dla zamawianych. W przeciwnym razie pusto.</a:t>
          </a:r>
          <a:endParaRPr lang="pl-PL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371474</xdr:rowOff>
    </xdr:from>
    <xdr:to>
      <xdr:col>12</xdr:col>
      <xdr:colOff>552450</xdr:colOff>
      <xdr:row>4</xdr:row>
      <xdr:rowOff>95249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121CF3B1-2D0B-40A6-88C7-7170B671A2A4}"/>
            </a:ext>
          </a:extLst>
        </xdr:cNvPr>
        <xdr:cNvSpPr/>
      </xdr:nvSpPr>
      <xdr:spPr>
        <a:xfrm>
          <a:off x="6591300" y="371474"/>
          <a:ext cx="2609850" cy="1114425"/>
        </a:xfrm>
        <a:prstGeom prst="wedgeRoundRectCallout">
          <a:avLst>
            <a:gd name="adj1" fmla="val -78971"/>
            <a:gd name="adj2" fmla="val 82256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Jeżeli</a:t>
          </a:r>
          <a:r>
            <a:rPr lang="pl-PL" sz="1100" baseline="0"/>
            <a:t> odchylenie standardowe jest równe 0, to oznacza, że wszystkie liczby są takie same.  Ma się wyświetlać TAK, jeżeli pomiary są takie same w wierszu, w przeciwnym razie NIE.</a:t>
          </a:r>
        </a:p>
      </xdr:txBody>
    </xdr:sp>
    <xdr:clientData/>
  </xdr:twoCellAnchor>
  <xdr:twoCellAnchor>
    <xdr:from>
      <xdr:col>9</xdr:col>
      <xdr:colOff>57149</xdr:colOff>
      <xdr:row>7</xdr:row>
      <xdr:rowOff>152400</xdr:rowOff>
    </xdr:from>
    <xdr:to>
      <xdr:col>13</xdr:col>
      <xdr:colOff>504824</xdr:colOff>
      <xdr:row>13</xdr:row>
      <xdr:rowOff>19050</xdr:rowOff>
    </xdr:to>
    <xdr:sp macro="" textlink="">
      <xdr:nvSpPr>
        <xdr:cNvPr id="4" name="Prostokąt: zaokrąglone rogi 3">
          <a:extLst>
            <a:ext uri="{FF2B5EF4-FFF2-40B4-BE49-F238E27FC236}">
              <a16:creationId xmlns:a16="http://schemas.microsoft.com/office/drawing/2014/main" id="{D79AA432-491E-5AD6-F43A-A8CFCF05A166}"/>
            </a:ext>
          </a:extLst>
        </xdr:cNvPr>
        <xdr:cNvSpPr/>
      </xdr:nvSpPr>
      <xdr:spPr>
        <a:xfrm>
          <a:off x="6877049" y="2114550"/>
          <a:ext cx="2886075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Funkcja JEŻELI</a:t>
          </a:r>
          <a:r>
            <a:rPr lang="pl-PL" sz="1100" baseline="0"/>
            <a:t> wykona "prawdę", jeżeli z warunku wyjdzie liczna inna niż 0. Jeżeli z warunku wyjdzie 0 wtedy wykona "fałsz".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13</xdr:row>
      <xdr:rowOff>66674</xdr:rowOff>
    </xdr:from>
    <xdr:to>
      <xdr:col>7</xdr:col>
      <xdr:colOff>361950</xdr:colOff>
      <xdr:row>19</xdr:row>
      <xdr:rowOff>171449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361A39B7-2454-4F9B-B5A2-D1336784AC02}"/>
            </a:ext>
          </a:extLst>
        </xdr:cNvPr>
        <xdr:cNvSpPr/>
      </xdr:nvSpPr>
      <xdr:spPr>
        <a:xfrm>
          <a:off x="4476750" y="2543174"/>
          <a:ext cx="2609850" cy="1247775"/>
        </a:xfrm>
        <a:prstGeom prst="wedgeRoundRectCallout">
          <a:avLst>
            <a:gd name="adj1" fmla="val -62913"/>
            <a:gd name="adj2" fmla="val -118940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Rozbij </a:t>
          </a:r>
          <a:r>
            <a:rPr lang="pl-PL" sz="1100" baseline="0"/>
            <a:t> odpowiednio na kolumny.</a:t>
          </a:r>
        </a:p>
        <a:p>
          <a:pPr algn="l"/>
          <a:r>
            <a:rPr lang="pl-PL" sz="1100" baseline="0"/>
            <a:t>Pomocniczo wykonaj "tekst jako kolumny" w zielonym obszarze, a następnie wykorzystaj funkcję JEŻELI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0</xdr:row>
      <xdr:rowOff>19050</xdr:rowOff>
    </xdr:from>
    <xdr:to>
      <xdr:col>10</xdr:col>
      <xdr:colOff>390525</xdr:colOff>
      <xdr:row>1</xdr:row>
      <xdr:rowOff>57150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C83CA5CA-2D19-4766-97B3-60CF5FD5F920}"/>
            </a:ext>
          </a:extLst>
        </xdr:cNvPr>
        <xdr:cNvSpPr/>
      </xdr:nvSpPr>
      <xdr:spPr>
        <a:xfrm>
          <a:off x="4267200" y="19050"/>
          <a:ext cx="2333625" cy="914400"/>
        </a:xfrm>
        <a:prstGeom prst="wedgeRoundRectCallout">
          <a:avLst>
            <a:gd name="adj1" fmla="val -50629"/>
            <a:gd name="adj2" fmla="val 86459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korzystając z funkcji DATA.RÓŻNICA oblicz pełne</a:t>
          </a:r>
          <a:r>
            <a:rPr lang="pl-PL" sz="1100" baseline="0"/>
            <a:t> lata</a:t>
          </a:r>
          <a:endParaRPr lang="pl-PL" sz="1100"/>
        </a:p>
      </xdr:txBody>
    </xdr:sp>
    <xdr:clientData/>
  </xdr:twoCellAnchor>
  <xdr:twoCellAnchor>
    <xdr:from>
      <xdr:col>14</xdr:col>
      <xdr:colOff>47625</xdr:colOff>
      <xdr:row>0</xdr:row>
      <xdr:rowOff>371475</xdr:rowOff>
    </xdr:from>
    <xdr:to>
      <xdr:col>21</xdr:col>
      <xdr:colOff>457200</xdr:colOff>
      <xdr:row>17</xdr:row>
      <xdr:rowOff>104775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649340C4-30AE-45BC-9576-62F84FEBB5D3}"/>
            </a:ext>
          </a:extLst>
        </xdr:cNvPr>
        <xdr:cNvSpPr txBox="1">
          <a:spLocks noChangeArrowheads="1"/>
        </xdr:cNvSpPr>
      </xdr:nvSpPr>
      <xdr:spPr bwMode="auto">
        <a:xfrm>
          <a:off x="8429625" y="371475"/>
          <a:ext cx="4676775" cy="3524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l-PL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DATA.RÓŻNICA(data_początkowa;data_końcowa;jednostka)</a:t>
          </a:r>
        </a:p>
        <a:p>
          <a:endParaRPr lang="pl-PL"/>
        </a:p>
        <a:p>
          <a:r>
            <a:rPr lang="pl-PL"/>
            <a:t>Jednostki:</a:t>
          </a:r>
        </a:p>
        <a:p>
          <a:r>
            <a:rPr lang="pl-PL"/>
            <a:t>"</a:t>
          </a:r>
          <a:r>
            <a:rPr lang="pl-PL" b="1"/>
            <a:t>Y"</a:t>
          </a:r>
          <a:endParaRPr lang="pl-PL"/>
        </a:p>
        <a:p>
          <a:r>
            <a:rPr lang="pl-PL"/>
            <a:t>Liczba pełnych lat w okresie.</a:t>
          </a:r>
        </a:p>
        <a:p>
          <a:r>
            <a:rPr lang="pl-PL"/>
            <a:t>"</a:t>
          </a:r>
          <a:r>
            <a:rPr lang="pl-PL" b="1"/>
            <a:t>M"</a:t>
          </a:r>
          <a:endParaRPr lang="pl-PL"/>
        </a:p>
        <a:p>
          <a:r>
            <a:rPr lang="pl-PL"/>
            <a:t>Liczba pełnych miesięcy w okresie.</a:t>
          </a:r>
        </a:p>
        <a:p>
          <a:r>
            <a:rPr lang="pl-PL"/>
            <a:t>"</a:t>
          </a:r>
          <a:r>
            <a:rPr lang="pl-PL" b="1"/>
            <a:t>D"</a:t>
          </a:r>
          <a:endParaRPr lang="pl-PL"/>
        </a:p>
        <a:p>
          <a:r>
            <a:rPr lang="pl-PL"/>
            <a:t>Liczba dni w okresie.</a:t>
          </a:r>
        </a:p>
        <a:p>
          <a:r>
            <a:rPr lang="pl-PL"/>
            <a:t>"</a:t>
          </a:r>
          <a:r>
            <a:rPr lang="pl-PL" b="1"/>
            <a:t>MD</a:t>
          </a:r>
          <a:r>
            <a:rPr lang="pl-PL"/>
            <a:t>"</a:t>
          </a:r>
        </a:p>
        <a:p>
          <a:r>
            <a:rPr lang="pl-PL"/>
            <a:t>Różnica między dniem w dacie początkowej a dniem w dacie końcowej. Miesiące i lata dat są ignorowane.</a:t>
          </a:r>
        </a:p>
        <a:p>
          <a:r>
            <a:rPr lang="pl-PL" b="1"/>
            <a:t>Ważne:</a:t>
          </a:r>
          <a:r>
            <a:rPr lang="pl-PL"/>
            <a:t> Nie zaleca się używania argumentu "MD", ponieważ istnieją związane z nim ograniczenia. Zobacz sekcję znanych problemów poniżej.</a:t>
          </a:r>
        </a:p>
        <a:p>
          <a:r>
            <a:rPr lang="pl-PL"/>
            <a:t>"</a:t>
          </a:r>
          <a:r>
            <a:rPr lang="pl-PL" b="1"/>
            <a:t>YM</a:t>
          </a:r>
          <a:r>
            <a:rPr lang="pl-PL"/>
            <a:t>"</a:t>
          </a:r>
        </a:p>
        <a:p>
          <a:r>
            <a:rPr lang="pl-PL"/>
            <a:t>Różnica między miesiącem w dacie początkowej a miesiącem w dacie końcowej. Dni i lata dat są ignorowane.</a:t>
          </a:r>
        </a:p>
        <a:p>
          <a:r>
            <a:rPr lang="pl-PL"/>
            <a:t>"</a:t>
          </a:r>
          <a:r>
            <a:rPr lang="pl-PL" b="1"/>
            <a:t>YD</a:t>
          </a:r>
          <a:r>
            <a:rPr lang="pl-PL"/>
            <a:t>"</a:t>
          </a:r>
        </a:p>
        <a:p>
          <a:r>
            <a:rPr lang="pl-PL"/>
            <a:t>Różnica między dniem w dacie początkowej a dniem w dacie końcowej. Lata dat są ignorowane.</a:t>
          </a:r>
        </a:p>
        <a:p>
          <a:pPr algn="l" rtl="0">
            <a:defRPr sz="1000"/>
          </a:pPr>
          <a:endParaRPr lang="pl-PL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38100</xdr:colOff>
      <xdr:row>21</xdr:row>
      <xdr:rowOff>123824</xdr:rowOff>
    </xdr:from>
    <xdr:to>
      <xdr:col>13</xdr:col>
      <xdr:colOff>200025</xdr:colOff>
      <xdr:row>33</xdr:row>
      <xdr:rowOff>9525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785BC3DB-2639-4CC5-93A0-ECB1CC7C7C95}"/>
            </a:ext>
          </a:extLst>
        </xdr:cNvPr>
        <xdr:cNvSpPr/>
      </xdr:nvSpPr>
      <xdr:spPr>
        <a:xfrm>
          <a:off x="5638800" y="4562474"/>
          <a:ext cx="2333625" cy="1828801"/>
        </a:xfrm>
        <a:prstGeom prst="wedgeRoundRectCallout">
          <a:avLst>
            <a:gd name="adj1" fmla="val -58385"/>
            <a:gd name="adj2" fmla="val -172969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Jeżeli</a:t>
          </a:r>
          <a:r>
            <a:rPr lang="pl-PL" sz="1100" baseline="0"/>
            <a:t> osoba osiągneła wiek emerytalny to ma się wyświetlać tekst "Emeruturka", </a:t>
          </a:r>
        </a:p>
        <a:p>
          <a:pPr algn="l"/>
          <a:r>
            <a:rPr lang="pl-PL" sz="1100" baseline="0"/>
            <a:t>jeżeli osoba nie osiągnęła wieku emerytalnego to ma się wyświetlać ile lat zostało do emerytury (różnica między wiekiem emerytalnym, a wiekiem osoby)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190499</xdr:rowOff>
    </xdr:from>
    <xdr:to>
      <xdr:col>3</xdr:col>
      <xdr:colOff>1000125</xdr:colOff>
      <xdr:row>3</xdr:row>
      <xdr:rowOff>561974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BD580F4A-DBA9-40DB-B51F-8B2CB755A44B}"/>
            </a:ext>
          </a:extLst>
        </xdr:cNvPr>
        <xdr:cNvSpPr/>
      </xdr:nvSpPr>
      <xdr:spPr>
        <a:xfrm>
          <a:off x="1676400" y="190499"/>
          <a:ext cx="1638300" cy="942975"/>
        </a:xfrm>
        <a:prstGeom prst="wedgeRoundRectCallout">
          <a:avLst>
            <a:gd name="adj1" fmla="val 11630"/>
            <a:gd name="adj2" fmla="val 90660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Oblicz</a:t>
          </a:r>
          <a:r>
            <a:rPr lang="pl-PL" sz="1100" baseline="0"/>
            <a:t> część całkowitą </a:t>
          </a:r>
          <a:br>
            <a:rPr lang="pl-PL" sz="1100" baseline="0"/>
          </a:br>
          <a:r>
            <a:rPr lang="pl-PL" sz="1100" baseline="0"/>
            <a:t>z dzielenia. Skorzystaj z funkcji ZAOKR.DÓŁ</a:t>
          </a:r>
          <a:endParaRPr lang="pl-PL" sz="1100"/>
        </a:p>
      </xdr:txBody>
    </xdr:sp>
    <xdr:clientData/>
  </xdr:twoCellAnchor>
  <xdr:twoCellAnchor>
    <xdr:from>
      <xdr:col>4</xdr:col>
      <xdr:colOff>323850</xdr:colOff>
      <xdr:row>0</xdr:row>
      <xdr:rowOff>123824</xdr:rowOff>
    </xdr:from>
    <xdr:to>
      <xdr:col>7</xdr:col>
      <xdr:colOff>133350</xdr:colOff>
      <xdr:row>3</xdr:row>
      <xdr:rowOff>495299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F2C99286-ADA7-40A7-B0F8-AE236D7723EE}"/>
            </a:ext>
          </a:extLst>
        </xdr:cNvPr>
        <xdr:cNvSpPr/>
      </xdr:nvSpPr>
      <xdr:spPr>
        <a:xfrm>
          <a:off x="3781425" y="123824"/>
          <a:ext cx="1638300" cy="942975"/>
        </a:xfrm>
        <a:prstGeom prst="wedgeRoundRectCallout">
          <a:avLst>
            <a:gd name="adj1" fmla="val -45347"/>
            <a:gd name="adj2" fmla="val 95711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Policz</a:t>
          </a:r>
          <a:r>
            <a:rPr lang="pl-PL" sz="1100" baseline="0"/>
            <a:t> resztę: od liczby odejmij iloczyn "dzielimy przez" * "część calkowita"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0</xdr:rowOff>
    </xdr:from>
    <xdr:to>
      <xdr:col>3</xdr:col>
      <xdr:colOff>123825</xdr:colOff>
      <xdr:row>4</xdr:row>
      <xdr:rowOff>171450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96E23831-B048-41EA-8385-4496D7CEA129}"/>
            </a:ext>
          </a:extLst>
        </xdr:cNvPr>
        <xdr:cNvSpPr/>
      </xdr:nvSpPr>
      <xdr:spPr>
        <a:xfrm>
          <a:off x="361950" y="0"/>
          <a:ext cx="1590675" cy="933450"/>
        </a:xfrm>
        <a:prstGeom prst="wedgeRoundRectCallout">
          <a:avLst>
            <a:gd name="adj1" fmla="val 58878"/>
            <a:gd name="adj2" fmla="val 73776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Na</a:t>
          </a:r>
          <a:r>
            <a:rPr lang="pl-PL" sz="1100" baseline="0"/>
            <a:t> palecie mieści się 12 sztuk. </a:t>
          </a:r>
        </a:p>
        <a:p>
          <a:pPr algn="l"/>
          <a:r>
            <a:rPr lang="pl-PL" sz="1100" baseline="0"/>
            <a:t>Pamiętaj aby wynik zaokrąglić do góry</a:t>
          </a:r>
          <a:endParaRPr lang="pl-PL" sz="1100"/>
        </a:p>
      </xdr:txBody>
    </xdr:sp>
    <xdr:clientData/>
  </xdr:twoCellAnchor>
  <xdr:twoCellAnchor>
    <xdr:from>
      <xdr:col>3</xdr:col>
      <xdr:colOff>238125</xdr:colOff>
      <xdr:row>0</xdr:row>
      <xdr:rowOff>19050</xdr:rowOff>
    </xdr:from>
    <xdr:to>
      <xdr:col>5</xdr:col>
      <xdr:colOff>123825</xdr:colOff>
      <xdr:row>5</xdr:row>
      <xdr:rowOff>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C5F63CAD-D046-48B8-A7EC-7961E09395C4}"/>
            </a:ext>
          </a:extLst>
        </xdr:cNvPr>
        <xdr:cNvSpPr/>
      </xdr:nvSpPr>
      <xdr:spPr>
        <a:xfrm>
          <a:off x="2066925" y="19050"/>
          <a:ext cx="1104900" cy="933450"/>
        </a:xfrm>
        <a:prstGeom prst="wedgeRoundRectCallout">
          <a:avLst>
            <a:gd name="adj1" fmla="val 5674"/>
            <a:gd name="adj2" fmla="val 69695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Transport</a:t>
          </a:r>
          <a:r>
            <a:rPr lang="pl-PL" sz="1100" baseline="0"/>
            <a:t> duży może przewieźć 12 palet. Bierzemy go od 10 palet.</a:t>
          </a:r>
          <a:endParaRPr lang="pl-PL" sz="1100"/>
        </a:p>
      </xdr:txBody>
    </xdr:sp>
    <xdr:clientData/>
  </xdr:twoCellAnchor>
  <xdr:twoCellAnchor>
    <xdr:from>
      <xdr:col>5</xdr:col>
      <xdr:colOff>581026</xdr:colOff>
      <xdr:row>2</xdr:row>
      <xdr:rowOff>38100</xdr:rowOff>
    </xdr:from>
    <xdr:to>
      <xdr:col>8</xdr:col>
      <xdr:colOff>295276</xdr:colOff>
      <xdr:row>5</xdr:row>
      <xdr:rowOff>38100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8E94B35B-5320-44C7-A024-BBD7035BDBC2}"/>
            </a:ext>
          </a:extLst>
        </xdr:cNvPr>
        <xdr:cNvSpPr/>
      </xdr:nvSpPr>
      <xdr:spPr>
        <a:xfrm>
          <a:off x="3629026" y="419100"/>
          <a:ext cx="1543050" cy="571500"/>
        </a:xfrm>
        <a:prstGeom prst="wedgeRoundRectCallout">
          <a:avLst>
            <a:gd name="adj1" fmla="val -43306"/>
            <a:gd name="adj2" fmla="val 78301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Transport</a:t>
          </a:r>
          <a:r>
            <a:rPr lang="pl-PL" sz="1100" baseline="0"/>
            <a:t> mały może przewieźć 6 palet.</a:t>
          </a:r>
          <a:endParaRPr lang="pl-PL" sz="1100"/>
        </a:p>
      </xdr:txBody>
    </xdr:sp>
    <xdr:clientData/>
  </xdr:twoCellAnchor>
  <xdr:twoCellAnchor>
    <xdr:from>
      <xdr:col>4</xdr:col>
      <xdr:colOff>161926</xdr:colOff>
      <xdr:row>14</xdr:row>
      <xdr:rowOff>171449</xdr:rowOff>
    </xdr:from>
    <xdr:to>
      <xdr:col>6</xdr:col>
      <xdr:colOff>133351</xdr:colOff>
      <xdr:row>18</xdr:row>
      <xdr:rowOff>104774</xdr:rowOff>
    </xdr:to>
    <xdr:sp macro="" textlink="">
      <xdr:nvSpPr>
        <xdr:cNvPr id="5" name="Dymek mowy: prostokąt z zaokrąglonymi rogami 4">
          <a:extLst>
            <a:ext uri="{FF2B5EF4-FFF2-40B4-BE49-F238E27FC236}">
              <a16:creationId xmlns:a16="http://schemas.microsoft.com/office/drawing/2014/main" id="{5D770EAA-5224-420D-A169-8F4DB499D208}"/>
            </a:ext>
          </a:extLst>
        </xdr:cNvPr>
        <xdr:cNvSpPr/>
      </xdr:nvSpPr>
      <xdr:spPr>
        <a:xfrm>
          <a:off x="2600326" y="2838449"/>
          <a:ext cx="1190625" cy="695325"/>
        </a:xfrm>
        <a:prstGeom prst="wedgeRoundRectCallout">
          <a:avLst>
            <a:gd name="adj1" fmla="val -6061"/>
            <a:gd name="adj2" fmla="val -114006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Oblicz ile transportów dużych i małuch potrzeba do przewiezienia towaru.</a:t>
          </a:r>
        </a:p>
      </xdr:txBody>
    </xdr:sp>
    <xdr:clientData/>
  </xdr:twoCellAnchor>
  <xdr:twoCellAnchor>
    <xdr:from>
      <xdr:col>9</xdr:col>
      <xdr:colOff>352424</xdr:colOff>
      <xdr:row>1</xdr:row>
      <xdr:rowOff>142875</xdr:rowOff>
    </xdr:from>
    <xdr:to>
      <xdr:col>19</xdr:col>
      <xdr:colOff>609599</xdr:colOff>
      <xdr:row>22</xdr:row>
      <xdr:rowOff>142875</xdr:rowOff>
    </xdr:to>
    <xdr:sp macro="" textlink="">
      <xdr:nvSpPr>
        <xdr:cNvPr id="6" name="Prostokąt: zaokrąglone rogi 5">
          <a:extLst>
            <a:ext uri="{FF2B5EF4-FFF2-40B4-BE49-F238E27FC236}">
              <a16:creationId xmlns:a16="http://schemas.microsoft.com/office/drawing/2014/main" id="{C68E24EC-3384-4462-9E52-6023F331E683}"/>
            </a:ext>
          </a:extLst>
        </xdr:cNvPr>
        <xdr:cNvSpPr/>
      </xdr:nvSpPr>
      <xdr:spPr>
        <a:xfrm>
          <a:off x="5838824" y="333375"/>
          <a:ext cx="6353175" cy="4000500"/>
        </a:xfrm>
        <a:prstGeom prst="roundRect">
          <a:avLst>
            <a:gd name="adj" fmla="val 68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="1"/>
            <a:t>Podpowiedzi:</a:t>
          </a:r>
        </a:p>
        <a:p>
          <a:pPr algn="l"/>
          <a:endParaRPr lang="pl-PL" sz="1100"/>
        </a:p>
        <a:p>
          <a:pPr algn="l"/>
          <a:r>
            <a:rPr lang="pl-PL" sz="1100" b="1"/>
            <a:t>Ile</a:t>
          </a:r>
          <a:r>
            <a:rPr lang="pl-PL" sz="1100" b="1" baseline="0"/>
            <a:t> palet</a:t>
          </a:r>
        </a:p>
        <a:p>
          <a:pPr algn="l"/>
          <a:r>
            <a:rPr lang="pl-PL" sz="1100" baseline="0"/>
            <a:t>nalezy podzielić sztuki przez 12, </a:t>
          </a:r>
        </a:p>
        <a:p>
          <a:pPr algn="l"/>
          <a:r>
            <a:rPr lang="pl-PL" sz="1100" baseline="0"/>
            <a:t>liczę tę należy funkcją ZAOKR.GÓRA - zaokrąglić w górę do pełnych palet</a:t>
          </a:r>
        </a:p>
        <a:p>
          <a:pPr algn="l"/>
          <a:endParaRPr lang="pl-PL" sz="1100" baseline="0"/>
        </a:p>
        <a:p>
          <a:pPr algn="l"/>
          <a:r>
            <a:rPr lang="pl-PL" sz="1100" b="1" baseline="0"/>
            <a:t>transpot duży</a:t>
          </a:r>
        </a:p>
        <a:p>
          <a:pPr algn="l"/>
          <a:r>
            <a:rPr lang="pl-PL" sz="1100"/>
            <a:t>należy podzielić ilość palet przez 12 bo</a:t>
          </a:r>
          <a:r>
            <a:rPr lang="pl-PL" sz="1100" baseline="0"/>
            <a:t> tyle wchodzi w duży samochód</a:t>
          </a:r>
        </a:p>
        <a:p>
          <a:pPr algn="l"/>
          <a:r>
            <a:rPr lang="pl-PL" sz="1100" baseline="0"/>
            <a:t>jednak, jeżeli po podzieleniu zostaje jeszcze kilka palet to musimy zdecydować co z nimi zrobić. Jeżeli zostaje 10 lub więcej to bieżemy kolejny duży samochód, jeżeli mniej niż 10 nie bierzemy dużego samochodu. </a:t>
          </a:r>
        </a:p>
        <a:p>
          <a:pPr algn="l"/>
          <a:r>
            <a:rPr lang="pl-PL" sz="1100" baseline="0"/>
            <a:t>Czyli:</a:t>
          </a:r>
        </a:p>
        <a:p>
          <a:pPr algn="l"/>
          <a:r>
            <a:rPr lang="pl-PL" sz="1100" baseline="0"/>
            <a:t>Jeżeli reszta z dzielenia &gt;=10 to zaokrąglamy w górę, w przeciwnym razie zaokrąglamy w dół. </a:t>
          </a:r>
        </a:p>
        <a:p>
          <a:pPr algn="l"/>
          <a:endParaRPr lang="pl-PL" sz="1100" baseline="0"/>
        </a:p>
        <a:p>
          <a:pPr algn="l"/>
          <a:r>
            <a:rPr lang="pl-PL" sz="1100" b="1" baseline="0"/>
            <a:t>transport mały</a:t>
          </a:r>
        </a:p>
        <a:p>
          <a:pPr algn="l"/>
          <a:r>
            <a:rPr lang="pl-PL" sz="1100" baseline="0"/>
            <a:t>musimy sprawdzić ile zostało palet po załadowaniu dużego samochodu.</a:t>
          </a:r>
        </a:p>
        <a:p>
          <a:pPr algn="l"/>
          <a:r>
            <a:rPr lang="pl-PL" sz="1100" baseline="0"/>
            <a:t>czyli od ilości wszystkich palet odejmujemy </a:t>
          </a:r>
          <a:r>
            <a:rPr lang="pl-PL" sz="1100" u="sng" baseline="0"/>
            <a:t>ilość dużych aut *12  </a:t>
          </a:r>
          <a:r>
            <a:rPr lang="pl-PL" sz="1100" u="none" baseline="0"/>
            <a:t> wtedy otrzymamy ile palet zostaje.</a:t>
          </a:r>
        </a:p>
        <a:p>
          <a:pPr algn="l"/>
          <a:r>
            <a:rPr lang="pl-PL" sz="1100" u="none" baseline="0"/>
            <a:t>Na małe auto wchodzi 6 palet. To co zostało dzielimy na 6 i zaokrąglamy w górę. </a:t>
          </a:r>
          <a:endParaRPr lang="pl-PL" sz="1100" u="sng" baseline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190499</xdr:rowOff>
    </xdr:from>
    <xdr:to>
      <xdr:col>3</xdr:col>
      <xdr:colOff>1000125</xdr:colOff>
      <xdr:row>3</xdr:row>
      <xdr:rowOff>561974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A9588AFD-3974-43C6-AF7B-53C30CB8B3AB}"/>
            </a:ext>
          </a:extLst>
        </xdr:cNvPr>
        <xdr:cNvSpPr/>
      </xdr:nvSpPr>
      <xdr:spPr>
        <a:xfrm>
          <a:off x="1676400" y="190499"/>
          <a:ext cx="762000" cy="571500"/>
        </a:xfrm>
        <a:prstGeom prst="wedgeRoundRectCallout">
          <a:avLst>
            <a:gd name="adj1" fmla="val 11630"/>
            <a:gd name="adj2" fmla="val 90660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Oblicz</a:t>
          </a:r>
          <a:r>
            <a:rPr lang="pl-PL" sz="1100" baseline="0"/>
            <a:t> część całkowitą </a:t>
          </a:r>
          <a:br>
            <a:rPr lang="pl-PL" sz="1100" baseline="0"/>
          </a:br>
          <a:r>
            <a:rPr lang="pl-PL" sz="1100" baseline="0"/>
            <a:t>z dzielenia. Skorzystaj z funkcji ZAOKR.DÓŁ</a:t>
          </a:r>
          <a:endParaRPr lang="pl-PL" sz="1100"/>
        </a:p>
      </xdr:txBody>
    </xdr:sp>
    <xdr:clientData/>
  </xdr:twoCellAnchor>
  <xdr:twoCellAnchor>
    <xdr:from>
      <xdr:col>4</xdr:col>
      <xdr:colOff>323850</xdr:colOff>
      <xdr:row>0</xdr:row>
      <xdr:rowOff>123824</xdr:rowOff>
    </xdr:from>
    <xdr:to>
      <xdr:col>7</xdr:col>
      <xdr:colOff>133350</xdr:colOff>
      <xdr:row>3</xdr:row>
      <xdr:rowOff>495299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F86A2B1B-BA68-47C2-AFCC-58D7C591A8C6}"/>
            </a:ext>
          </a:extLst>
        </xdr:cNvPr>
        <xdr:cNvSpPr/>
      </xdr:nvSpPr>
      <xdr:spPr>
        <a:xfrm>
          <a:off x="2762250" y="123824"/>
          <a:ext cx="1638300" cy="638175"/>
        </a:xfrm>
        <a:prstGeom prst="wedgeRoundRectCallout">
          <a:avLst>
            <a:gd name="adj1" fmla="val -45347"/>
            <a:gd name="adj2" fmla="val 95711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Policz</a:t>
          </a:r>
          <a:r>
            <a:rPr lang="pl-PL" sz="1100" baseline="0"/>
            <a:t> resztę. Skorzytaj z funkcji MOD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0</xdr:rowOff>
    </xdr:from>
    <xdr:to>
      <xdr:col>3</xdr:col>
      <xdr:colOff>123825</xdr:colOff>
      <xdr:row>4</xdr:row>
      <xdr:rowOff>171450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CAF43BE2-168B-4860-B118-C99ED07883A9}"/>
            </a:ext>
          </a:extLst>
        </xdr:cNvPr>
        <xdr:cNvSpPr/>
      </xdr:nvSpPr>
      <xdr:spPr>
        <a:xfrm>
          <a:off x="361950" y="0"/>
          <a:ext cx="1762125" cy="933450"/>
        </a:xfrm>
        <a:prstGeom prst="wedgeRoundRectCallout">
          <a:avLst>
            <a:gd name="adj1" fmla="val 58878"/>
            <a:gd name="adj2" fmla="val 73776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Na</a:t>
          </a:r>
          <a:r>
            <a:rPr lang="pl-PL" sz="1100" baseline="0"/>
            <a:t> palecie mieści się 12 sztuk. </a:t>
          </a:r>
        </a:p>
        <a:p>
          <a:pPr algn="l"/>
          <a:r>
            <a:rPr lang="pl-PL" sz="1100" baseline="0"/>
            <a:t>Pamiętaj aby wynik zaokrąglić do góry</a:t>
          </a:r>
          <a:endParaRPr lang="pl-PL" sz="1100"/>
        </a:p>
      </xdr:txBody>
    </xdr:sp>
    <xdr:clientData/>
  </xdr:twoCellAnchor>
  <xdr:twoCellAnchor>
    <xdr:from>
      <xdr:col>3</xdr:col>
      <xdr:colOff>238125</xdr:colOff>
      <xdr:row>0</xdr:row>
      <xdr:rowOff>19050</xdr:rowOff>
    </xdr:from>
    <xdr:to>
      <xdr:col>5</xdr:col>
      <xdr:colOff>371476</xdr:colOff>
      <xdr:row>5</xdr:row>
      <xdr:rowOff>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18BE45C4-457F-4D3B-91AA-6590CFDF4119}"/>
            </a:ext>
          </a:extLst>
        </xdr:cNvPr>
        <xdr:cNvSpPr/>
      </xdr:nvSpPr>
      <xdr:spPr>
        <a:xfrm>
          <a:off x="2238375" y="19050"/>
          <a:ext cx="1952626" cy="933450"/>
        </a:xfrm>
        <a:prstGeom prst="wedgeRoundRectCallout">
          <a:avLst>
            <a:gd name="adj1" fmla="val 5674"/>
            <a:gd name="adj2" fmla="val 69695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Transport</a:t>
          </a:r>
          <a:r>
            <a:rPr lang="pl-PL" sz="1100" baseline="0"/>
            <a:t> duży może przewieźć 12 palet. Bierzemy go od 10 palet.</a:t>
          </a:r>
          <a:endParaRPr lang="pl-PL" sz="1100"/>
        </a:p>
      </xdr:txBody>
    </xdr:sp>
    <xdr:clientData/>
  </xdr:twoCellAnchor>
  <xdr:twoCellAnchor>
    <xdr:from>
      <xdr:col>5</xdr:col>
      <xdr:colOff>581026</xdr:colOff>
      <xdr:row>2</xdr:row>
      <xdr:rowOff>38100</xdr:rowOff>
    </xdr:from>
    <xdr:to>
      <xdr:col>8</xdr:col>
      <xdr:colOff>295276</xdr:colOff>
      <xdr:row>5</xdr:row>
      <xdr:rowOff>38100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82A277FA-C3E7-4E77-AEFD-09A72D92CE7E}"/>
            </a:ext>
          </a:extLst>
        </xdr:cNvPr>
        <xdr:cNvSpPr/>
      </xdr:nvSpPr>
      <xdr:spPr>
        <a:xfrm>
          <a:off x="4400551" y="419100"/>
          <a:ext cx="1866900" cy="571500"/>
        </a:xfrm>
        <a:prstGeom prst="wedgeRoundRectCallout">
          <a:avLst>
            <a:gd name="adj1" fmla="val -43306"/>
            <a:gd name="adj2" fmla="val 78301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Transport</a:t>
          </a:r>
          <a:r>
            <a:rPr lang="pl-PL" sz="1100" baseline="0"/>
            <a:t> mały może przewieźć 6 palet.</a:t>
          </a:r>
          <a:endParaRPr lang="pl-PL" sz="1100"/>
        </a:p>
      </xdr:txBody>
    </xdr:sp>
    <xdr:clientData/>
  </xdr:twoCellAnchor>
  <xdr:twoCellAnchor>
    <xdr:from>
      <xdr:col>4</xdr:col>
      <xdr:colOff>161926</xdr:colOff>
      <xdr:row>14</xdr:row>
      <xdr:rowOff>171449</xdr:rowOff>
    </xdr:from>
    <xdr:to>
      <xdr:col>6</xdr:col>
      <xdr:colOff>133351</xdr:colOff>
      <xdr:row>18</xdr:row>
      <xdr:rowOff>104774</xdr:rowOff>
    </xdr:to>
    <xdr:sp macro="" textlink="">
      <xdr:nvSpPr>
        <xdr:cNvPr id="5" name="Dymek mowy: prostokąt z zaokrąglonymi rogami 4">
          <a:extLst>
            <a:ext uri="{FF2B5EF4-FFF2-40B4-BE49-F238E27FC236}">
              <a16:creationId xmlns:a16="http://schemas.microsoft.com/office/drawing/2014/main" id="{8E2E4A6E-0034-450F-9C82-CC63794B62B8}"/>
            </a:ext>
          </a:extLst>
        </xdr:cNvPr>
        <xdr:cNvSpPr/>
      </xdr:nvSpPr>
      <xdr:spPr>
        <a:xfrm>
          <a:off x="3019426" y="2838449"/>
          <a:ext cx="1866900" cy="695325"/>
        </a:xfrm>
        <a:prstGeom prst="wedgeRoundRectCallout">
          <a:avLst>
            <a:gd name="adj1" fmla="val -6061"/>
            <a:gd name="adj2" fmla="val -114006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Oblicz ile transportów dużych i małuch potrzeba do przewiezienia towaru.</a:t>
          </a:r>
        </a:p>
      </xdr:txBody>
    </xdr:sp>
    <xdr:clientData/>
  </xdr:twoCellAnchor>
  <xdr:twoCellAnchor>
    <xdr:from>
      <xdr:col>9</xdr:col>
      <xdr:colOff>123826</xdr:colOff>
      <xdr:row>4</xdr:row>
      <xdr:rowOff>19050</xdr:rowOff>
    </xdr:from>
    <xdr:to>
      <xdr:col>16</xdr:col>
      <xdr:colOff>447676</xdr:colOff>
      <xdr:row>10</xdr:row>
      <xdr:rowOff>28575</xdr:rowOff>
    </xdr:to>
    <xdr:sp macro="" textlink="">
      <xdr:nvSpPr>
        <xdr:cNvPr id="8" name="Prostokąt: zaokrąglone rogi 7">
          <a:extLst>
            <a:ext uri="{FF2B5EF4-FFF2-40B4-BE49-F238E27FC236}">
              <a16:creationId xmlns:a16="http://schemas.microsoft.com/office/drawing/2014/main" id="{D2563598-AABF-4D2F-BD81-C473C8485CAB}"/>
            </a:ext>
          </a:extLst>
        </xdr:cNvPr>
        <xdr:cNvSpPr/>
      </xdr:nvSpPr>
      <xdr:spPr>
        <a:xfrm>
          <a:off x="6705601" y="781050"/>
          <a:ext cx="4591050" cy="1152525"/>
        </a:xfrm>
        <a:prstGeom prst="roundRect">
          <a:avLst>
            <a:gd name="adj" fmla="val 68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="1"/>
            <a:t>Podpowiedzi:</a:t>
          </a:r>
        </a:p>
        <a:p>
          <a:pPr algn="l"/>
          <a:endParaRPr lang="pl-PL" sz="1100"/>
        </a:p>
        <a:p>
          <a:pPr algn="l"/>
          <a:r>
            <a:rPr lang="pl-PL" sz="1100" b="1"/>
            <a:t>rozwiązanie jak w arkuszu</a:t>
          </a:r>
          <a:r>
            <a:rPr lang="pl-PL" sz="1100" b="1" baseline="0"/>
            <a:t> [jeżeli 3], ale z wykorzystaniem funkcji MOD</a:t>
          </a:r>
          <a:endParaRPr lang="pl-PL" sz="1100" u="sng" baseline="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295274</xdr:rowOff>
    </xdr:from>
    <xdr:to>
      <xdr:col>5</xdr:col>
      <xdr:colOff>266700</xdr:colOff>
      <xdr:row>1</xdr:row>
      <xdr:rowOff>1733549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E91712F7-F6D4-4F61-BD96-9CA007AB44B8}"/>
            </a:ext>
          </a:extLst>
        </xdr:cNvPr>
        <xdr:cNvSpPr/>
      </xdr:nvSpPr>
      <xdr:spPr>
        <a:xfrm>
          <a:off x="333375" y="514349"/>
          <a:ext cx="3362325" cy="1438275"/>
        </a:xfrm>
        <a:prstGeom prst="wedgeRoundRectCallout">
          <a:avLst>
            <a:gd name="adj1" fmla="val 24776"/>
            <a:gd name="adj2" fmla="val 104919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Jeżeli</a:t>
          </a:r>
          <a:r>
            <a:rPr lang="pl-PL" sz="1100" baseline="0"/>
            <a:t> osoba ma &lt;18 lat lub waży &lt;25 kg to leku nie podajemy, </a:t>
          </a:r>
        </a:p>
        <a:p>
          <a:pPr algn="l"/>
          <a:r>
            <a:rPr lang="pl-PL" sz="1100"/>
            <a:t>jeżeli osoba ma &gt;=18</a:t>
          </a:r>
          <a:r>
            <a:rPr lang="pl-PL" sz="1100" baseline="0"/>
            <a:t> lat i jest mężczyzną to otrzymuje 1 tabletkę na każde 25 kg pełnej wagi,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jeżeli osoba ma &gt;=18</a:t>
          </a:r>
          <a:r>
            <a:rPr lang="pl-PL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lat i jest kobietą to otrzymuje 0,5 tabletki na każde 25 kg pełnej wagi.</a:t>
          </a: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561976</xdr:colOff>
      <xdr:row>1</xdr:row>
      <xdr:rowOff>323849</xdr:rowOff>
    </xdr:from>
    <xdr:to>
      <xdr:col>6</xdr:col>
      <xdr:colOff>1009650</xdr:colOff>
      <xdr:row>1</xdr:row>
      <xdr:rowOff>1704974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B267CE74-6935-43CA-8E42-D17EE9F1CC78}"/>
            </a:ext>
          </a:extLst>
        </xdr:cNvPr>
        <xdr:cNvSpPr/>
      </xdr:nvSpPr>
      <xdr:spPr>
        <a:xfrm>
          <a:off x="1781176" y="514349"/>
          <a:ext cx="3667124" cy="1381125"/>
        </a:xfrm>
        <a:prstGeom prst="wedgeRoundRectCallout">
          <a:avLst>
            <a:gd name="adj1" fmla="val 45661"/>
            <a:gd name="adj2" fmla="val 111752"/>
            <a:gd name="adj3" fmla="val 16667"/>
          </a:avLst>
        </a:prstGeom>
        <a:solidFill>
          <a:schemeClr val="bg1">
            <a:lumMod val="5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W projekcie biorą udział osoby tylko spełniające warunki:</a:t>
          </a:r>
        </a:p>
        <a:p>
          <a:pPr algn="l"/>
          <a:r>
            <a:rPr lang="pl-PL" sz="1100"/>
            <a:t>1) wykształcenie średnie lub wyższe, </a:t>
          </a:r>
        </a:p>
        <a:p>
          <a:pPr algn="l"/>
          <a:r>
            <a:rPr lang="pl-PL" sz="1100"/>
            <a:t>2) dzieci jeden lub więcej, </a:t>
          </a:r>
        </a:p>
        <a:p>
          <a:pPr algn="l"/>
          <a:r>
            <a:rPr lang="pl-PL" sz="1100">
              <a:effectLst/>
            </a:rPr>
            <a:t>3) kobieta powyżej 30 lat lub mężczyzna powyżej 45 lat.</a:t>
          </a:r>
          <a:endParaRPr lang="pl-PL">
            <a:effectLst/>
          </a:endParaRPr>
        </a:p>
        <a:p>
          <a:pPr algn="l"/>
          <a:endParaRPr lang="pl-P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KIG\EXZ\Szkolenie\tab_przestaw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kusz2"/>
      <sheetName val="Arkusz3"/>
      <sheetName val="Wykres1"/>
      <sheetName val="Arkusz4"/>
      <sheetName val="Arkusz1"/>
    </sheetNames>
    <sheetDataSet>
      <sheetData sheetId="0" refreshError="1"/>
      <sheetData sheetId="1">
        <row r="4"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</row>
        <row r="5">
          <cell r="B5">
            <v>1</v>
          </cell>
          <cell r="C5">
            <v>2</v>
          </cell>
          <cell r="D5">
            <v>3</v>
          </cell>
          <cell r="E5">
            <v>4</v>
          </cell>
          <cell r="F5">
            <v>5</v>
          </cell>
          <cell r="G5">
            <v>6</v>
          </cell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</row>
        <row r="7">
          <cell r="B7">
            <v>2</v>
          </cell>
          <cell r="C7">
            <v>2</v>
          </cell>
          <cell r="D7">
            <v>4</v>
          </cell>
          <cell r="E7">
            <v>4</v>
          </cell>
          <cell r="F7">
            <v>5</v>
          </cell>
          <cell r="G7">
            <v>2</v>
          </cell>
        </row>
        <row r="8">
          <cell r="B8">
            <v>3</v>
          </cell>
          <cell r="C8">
            <v>2</v>
          </cell>
          <cell r="D8">
            <v>5</v>
          </cell>
          <cell r="E8">
            <v>4</v>
          </cell>
          <cell r="F8">
            <v>5</v>
          </cell>
          <cell r="G8">
            <v>2</v>
          </cell>
        </row>
        <row r="9">
          <cell r="B9">
            <v>4</v>
          </cell>
          <cell r="C9">
            <v>2</v>
          </cell>
          <cell r="D9">
            <v>6</v>
          </cell>
          <cell r="E9">
            <v>4</v>
          </cell>
          <cell r="F9">
            <v>5</v>
          </cell>
          <cell r="G9">
            <v>2</v>
          </cell>
        </row>
        <row r="10">
          <cell r="B10">
            <v>5</v>
          </cell>
          <cell r="C10">
            <v>2</v>
          </cell>
          <cell r="D10">
            <v>1</v>
          </cell>
          <cell r="E10">
            <v>3</v>
          </cell>
          <cell r="F10">
            <v>5</v>
          </cell>
          <cell r="G10">
            <v>2</v>
          </cell>
        </row>
        <row r="11">
          <cell r="B11">
            <v>6</v>
          </cell>
          <cell r="C11">
            <v>5</v>
          </cell>
          <cell r="D11">
            <v>3</v>
          </cell>
          <cell r="E11">
            <v>4</v>
          </cell>
          <cell r="F11">
            <v>5</v>
          </cell>
          <cell r="G11">
            <v>3</v>
          </cell>
        </row>
        <row r="12">
          <cell r="B12">
            <v>1</v>
          </cell>
          <cell r="C12">
            <v>5</v>
          </cell>
          <cell r="D12">
            <v>3</v>
          </cell>
          <cell r="E12">
            <v>4</v>
          </cell>
          <cell r="F12">
            <v>5</v>
          </cell>
          <cell r="G12">
            <v>3</v>
          </cell>
        </row>
      </sheetData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515E-B79C-4756-B62B-1FE439F3C74D}">
  <dimension ref="A1:I24"/>
  <sheetViews>
    <sheetView workbookViewId="0">
      <selection activeCell="J26" sqref="J26"/>
    </sheetView>
  </sheetViews>
  <sheetFormatPr defaultRowHeight="12.75" x14ac:dyDescent="0.2"/>
  <cols>
    <col min="1" max="1" width="15.85546875" style="2" bestFit="1" customWidth="1"/>
    <col min="2" max="2" width="12.85546875" style="2" bestFit="1" customWidth="1"/>
    <col min="3" max="6" width="11.85546875" style="2" customWidth="1"/>
    <col min="7" max="7" width="11.85546875" style="8" customWidth="1"/>
    <col min="8" max="8" width="11.85546875" style="2" customWidth="1"/>
    <col min="9" max="9" width="19" style="2" customWidth="1"/>
    <col min="10" max="257" width="9.140625" style="2"/>
    <col min="258" max="258" width="15.85546875" style="2" bestFit="1" customWidth="1"/>
    <col min="259" max="259" width="12.85546875" style="2" bestFit="1" customWidth="1"/>
    <col min="260" max="260" width="9.85546875" style="2" bestFit="1" customWidth="1"/>
    <col min="261" max="261" width="7.7109375" style="2" customWidth="1"/>
    <col min="262" max="262" width="7" style="2" customWidth="1"/>
    <col min="263" max="263" width="6.7109375" style="2" customWidth="1"/>
    <col min="264" max="264" width="11.85546875" style="2" customWidth="1"/>
    <col min="265" max="265" width="13.85546875" style="2" customWidth="1"/>
    <col min="266" max="513" width="9.140625" style="2"/>
    <col min="514" max="514" width="15.85546875" style="2" bestFit="1" customWidth="1"/>
    <col min="515" max="515" width="12.85546875" style="2" bestFit="1" customWidth="1"/>
    <col min="516" max="516" width="9.85546875" style="2" bestFit="1" customWidth="1"/>
    <col min="517" max="517" width="7.7109375" style="2" customWidth="1"/>
    <col min="518" max="518" width="7" style="2" customWidth="1"/>
    <col min="519" max="519" width="6.7109375" style="2" customWidth="1"/>
    <col min="520" max="520" width="11.85546875" style="2" customWidth="1"/>
    <col min="521" max="521" width="13.85546875" style="2" customWidth="1"/>
    <col min="522" max="769" width="9.140625" style="2"/>
    <col min="770" max="770" width="15.85546875" style="2" bestFit="1" customWidth="1"/>
    <col min="771" max="771" width="12.85546875" style="2" bestFit="1" customWidth="1"/>
    <col min="772" max="772" width="9.85546875" style="2" bestFit="1" customWidth="1"/>
    <col min="773" max="773" width="7.7109375" style="2" customWidth="1"/>
    <col min="774" max="774" width="7" style="2" customWidth="1"/>
    <col min="775" max="775" width="6.7109375" style="2" customWidth="1"/>
    <col min="776" max="776" width="11.85546875" style="2" customWidth="1"/>
    <col min="777" max="777" width="13.85546875" style="2" customWidth="1"/>
    <col min="778" max="1025" width="9.140625" style="2"/>
    <col min="1026" max="1026" width="15.85546875" style="2" bestFit="1" customWidth="1"/>
    <col min="1027" max="1027" width="12.85546875" style="2" bestFit="1" customWidth="1"/>
    <col min="1028" max="1028" width="9.85546875" style="2" bestFit="1" customWidth="1"/>
    <col min="1029" max="1029" width="7.7109375" style="2" customWidth="1"/>
    <col min="1030" max="1030" width="7" style="2" customWidth="1"/>
    <col min="1031" max="1031" width="6.7109375" style="2" customWidth="1"/>
    <col min="1032" max="1032" width="11.85546875" style="2" customWidth="1"/>
    <col min="1033" max="1033" width="13.85546875" style="2" customWidth="1"/>
    <col min="1034" max="1281" width="9.140625" style="2"/>
    <col min="1282" max="1282" width="15.85546875" style="2" bestFit="1" customWidth="1"/>
    <col min="1283" max="1283" width="12.85546875" style="2" bestFit="1" customWidth="1"/>
    <col min="1284" max="1284" width="9.85546875" style="2" bestFit="1" customWidth="1"/>
    <col min="1285" max="1285" width="7.7109375" style="2" customWidth="1"/>
    <col min="1286" max="1286" width="7" style="2" customWidth="1"/>
    <col min="1287" max="1287" width="6.7109375" style="2" customWidth="1"/>
    <col min="1288" max="1288" width="11.85546875" style="2" customWidth="1"/>
    <col min="1289" max="1289" width="13.85546875" style="2" customWidth="1"/>
    <col min="1290" max="1537" width="9.140625" style="2"/>
    <col min="1538" max="1538" width="15.85546875" style="2" bestFit="1" customWidth="1"/>
    <col min="1539" max="1539" width="12.85546875" style="2" bestFit="1" customWidth="1"/>
    <col min="1540" max="1540" width="9.85546875" style="2" bestFit="1" customWidth="1"/>
    <col min="1541" max="1541" width="7.7109375" style="2" customWidth="1"/>
    <col min="1542" max="1542" width="7" style="2" customWidth="1"/>
    <col min="1543" max="1543" width="6.7109375" style="2" customWidth="1"/>
    <col min="1544" max="1544" width="11.85546875" style="2" customWidth="1"/>
    <col min="1545" max="1545" width="13.85546875" style="2" customWidth="1"/>
    <col min="1546" max="1793" width="9.140625" style="2"/>
    <col min="1794" max="1794" width="15.85546875" style="2" bestFit="1" customWidth="1"/>
    <col min="1795" max="1795" width="12.85546875" style="2" bestFit="1" customWidth="1"/>
    <col min="1796" max="1796" width="9.85546875" style="2" bestFit="1" customWidth="1"/>
    <col min="1797" max="1797" width="7.7109375" style="2" customWidth="1"/>
    <col min="1798" max="1798" width="7" style="2" customWidth="1"/>
    <col min="1799" max="1799" width="6.7109375" style="2" customWidth="1"/>
    <col min="1800" max="1800" width="11.85546875" style="2" customWidth="1"/>
    <col min="1801" max="1801" width="13.85546875" style="2" customWidth="1"/>
    <col min="1802" max="2049" width="9.140625" style="2"/>
    <col min="2050" max="2050" width="15.85546875" style="2" bestFit="1" customWidth="1"/>
    <col min="2051" max="2051" width="12.85546875" style="2" bestFit="1" customWidth="1"/>
    <col min="2052" max="2052" width="9.85546875" style="2" bestFit="1" customWidth="1"/>
    <col min="2053" max="2053" width="7.7109375" style="2" customWidth="1"/>
    <col min="2054" max="2054" width="7" style="2" customWidth="1"/>
    <col min="2055" max="2055" width="6.7109375" style="2" customWidth="1"/>
    <col min="2056" max="2056" width="11.85546875" style="2" customWidth="1"/>
    <col min="2057" max="2057" width="13.85546875" style="2" customWidth="1"/>
    <col min="2058" max="2305" width="9.140625" style="2"/>
    <col min="2306" max="2306" width="15.85546875" style="2" bestFit="1" customWidth="1"/>
    <col min="2307" max="2307" width="12.85546875" style="2" bestFit="1" customWidth="1"/>
    <col min="2308" max="2308" width="9.85546875" style="2" bestFit="1" customWidth="1"/>
    <col min="2309" max="2309" width="7.7109375" style="2" customWidth="1"/>
    <col min="2310" max="2310" width="7" style="2" customWidth="1"/>
    <col min="2311" max="2311" width="6.7109375" style="2" customWidth="1"/>
    <col min="2312" max="2312" width="11.85546875" style="2" customWidth="1"/>
    <col min="2313" max="2313" width="13.85546875" style="2" customWidth="1"/>
    <col min="2314" max="2561" width="9.140625" style="2"/>
    <col min="2562" max="2562" width="15.85546875" style="2" bestFit="1" customWidth="1"/>
    <col min="2563" max="2563" width="12.85546875" style="2" bestFit="1" customWidth="1"/>
    <col min="2564" max="2564" width="9.85546875" style="2" bestFit="1" customWidth="1"/>
    <col min="2565" max="2565" width="7.7109375" style="2" customWidth="1"/>
    <col min="2566" max="2566" width="7" style="2" customWidth="1"/>
    <col min="2567" max="2567" width="6.7109375" style="2" customWidth="1"/>
    <col min="2568" max="2568" width="11.85546875" style="2" customWidth="1"/>
    <col min="2569" max="2569" width="13.85546875" style="2" customWidth="1"/>
    <col min="2570" max="2817" width="9.140625" style="2"/>
    <col min="2818" max="2818" width="15.85546875" style="2" bestFit="1" customWidth="1"/>
    <col min="2819" max="2819" width="12.85546875" style="2" bestFit="1" customWidth="1"/>
    <col min="2820" max="2820" width="9.85546875" style="2" bestFit="1" customWidth="1"/>
    <col min="2821" max="2821" width="7.7109375" style="2" customWidth="1"/>
    <col min="2822" max="2822" width="7" style="2" customWidth="1"/>
    <col min="2823" max="2823" width="6.7109375" style="2" customWidth="1"/>
    <col min="2824" max="2824" width="11.85546875" style="2" customWidth="1"/>
    <col min="2825" max="2825" width="13.85546875" style="2" customWidth="1"/>
    <col min="2826" max="3073" width="9.140625" style="2"/>
    <col min="3074" max="3074" width="15.85546875" style="2" bestFit="1" customWidth="1"/>
    <col min="3075" max="3075" width="12.85546875" style="2" bestFit="1" customWidth="1"/>
    <col min="3076" max="3076" width="9.85546875" style="2" bestFit="1" customWidth="1"/>
    <col min="3077" max="3077" width="7.7109375" style="2" customWidth="1"/>
    <col min="3078" max="3078" width="7" style="2" customWidth="1"/>
    <col min="3079" max="3079" width="6.7109375" style="2" customWidth="1"/>
    <col min="3080" max="3080" width="11.85546875" style="2" customWidth="1"/>
    <col min="3081" max="3081" width="13.85546875" style="2" customWidth="1"/>
    <col min="3082" max="3329" width="9.140625" style="2"/>
    <col min="3330" max="3330" width="15.85546875" style="2" bestFit="1" customWidth="1"/>
    <col min="3331" max="3331" width="12.85546875" style="2" bestFit="1" customWidth="1"/>
    <col min="3332" max="3332" width="9.85546875" style="2" bestFit="1" customWidth="1"/>
    <col min="3333" max="3333" width="7.7109375" style="2" customWidth="1"/>
    <col min="3334" max="3334" width="7" style="2" customWidth="1"/>
    <col min="3335" max="3335" width="6.7109375" style="2" customWidth="1"/>
    <col min="3336" max="3336" width="11.85546875" style="2" customWidth="1"/>
    <col min="3337" max="3337" width="13.85546875" style="2" customWidth="1"/>
    <col min="3338" max="3585" width="9.140625" style="2"/>
    <col min="3586" max="3586" width="15.85546875" style="2" bestFit="1" customWidth="1"/>
    <col min="3587" max="3587" width="12.85546875" style="2" bestFit="1" customWidth="1"/>
    <col min="3588" max="3588" width="9.85546875" style="2" bestFit="1" customWidth="1"/>
    <col min="3589" max="3589" width="7.7109375" style="2" customWidth="1"/>
    <col min="3590" max="3590" width="7" style="2" customWidth="1"/>
    <col min="3591" max="3591" width="6.7109375" style="2" customWidth="1"/>
    <col min="3592" max="3592" width="11.85546875" style="2" customWidth="1"/>
    <col min="3593" max="3593" width="13.85546875" style="2" customWidth="1"/>
    <col min="3594" max="3841" width="9.140625" style="2"/>
    <col min="3842" max="3842" width="15.85546875" style="2" bestFit="1" customWidth="1"/>
    <col min="3843" max="3843" width="12.85546875" style="2" bestFit="1" customWidth="1"/>
    <col min="3844" max="3844" width="9.85546875" style="2" bestFit="1" customWidth="1"/>
    <col min="3845" max="3845" width="7.7109375" style="2" customWidth="1"/>
    <col min="3846" max="3846" width="7" style="2" customWidth="1"/>
    <col min="3847" max="3847" width="6.7109375" style="2" customWidth="1"/>
    <col min="3848" max="3848" width="11.85546875" style="2" customWidth="1"/>
    <col min="3849" max="3849" width="13.85546875" style="2" customWidth="1"/>
    <col min="3850" max="4097" width="9.140625" style="2"/>
    <col min="4098" max="4098" width="15.85546875" style="2" bestFit="1" customWidth="1"/>
    <col min="4099" max="4099" width="12.85546875" style="2" bestFit="1" customWidth="1"/>
    <col min="4100" max="4100" width="9.85546875" style="2" bestFit="1" customWidth="1"/>
    <col min="4101" max="4101" width="7.7109375" style="2" customWidth="1"/>
    <col min="4102" max="4102" width="7" style="2" customWidth="1"/>
    <col min="4103" max="4103" width="6.7109375" style="2" customWidth="1"/>
    <col min="4104" max="4104" width="11.85546875" style="2" customWidth="1"/>
    <col min="4105" max="4105" width="13.85546875" style="2" customWidth="1"/>
    <col min="4106" max="4353" width="9.140625" style="2"/>
    <col min="4354" max="4354" width="15.85546875" style="2" bestFit="1" customWidth="1"/>
    <col min="4355" max="4355" width="12.85546875" style="2" bestFit="1" customWidth="1"/>
    <col min="4356" max="4356" width="9.85546875" style="2" bestFit="1" customWidth="1"/>
    <col min="4357" max="4357" width="7.7109375" style="2" customWidth="1"/>
    <col min="4358" max="4358" width="7" style="2" customWidth="1"/>
    <col min="4359" max="4359" width="6.7109375" style="2" customWidth="1"/>
    <col min="4360" max="4360" width="11.85546875" style="2" customWidth="1"/>
    <col min="4361" max="4361" width="13.85546875" style="2" customWidth="1"/>
    <col min="4362" max="4609" width="9.140625" style="2"/>
    <col min="4610" max="4610" width="15.85546875" style="2" bestFit="1" customWidth="1"/>
    <col min="4611" max="4611" width="12.85546875" style="2" bestFit="1" customWidth="1"/>
    <col min="4612" max="4612" width="9.85546875" style="2" bestFit="1" customWidth="1"/>
    <col min="4613" max="4613" width="7.7109375" style="2" customWidth="1"/>
    <col min="4614" max="4614" width="7" style="2" customWidth="1"/>
    <col min="4615" max="4615" width="6.7109375" style="2" customWidth="1"/>
    <col min="4616" max="4616" width="11.85546875" style="2" customWidth="1"/>
    <col min="4617" max="4617" width="13.85546875" style="2" customWidth="1"/>
    <col min="4618" max="4865" width="9.140625" style="2"/>
    <col min="4866" max="4866" width="15.85546875" style="2" bestFit="1" customWidth="1"/>
    <col min="4867" max="4867" width="12.85546875" style="2" bestFit="1" customWidth="1"/>
    <col min="4868" max="4868" width="9.85546875" style="2" bestFit="1" customWidth="1"/>
    <col min="4869" max="4869" width="7.7109375" style="2" customWidth="1"/>
    <col min="4870" max="4870" width="7" style="2" customWidth="1"/>
    <col min="4871" max="4871" width="6.7109375" style="2" customWidth="1"/>
    <col min="4872" max="4872" width="11.85546875" style="2" customWidth="1"/>
    <col min="4873" max="4873" width="13.85546875" style="2" customWidth="1"/>
    <col min="4874" max="5121" width="9.140625" style="2"/>
    <col min="5122" max="5122" width="15.85546875" style="2" bestFit="1" customWidth="1"/>
    <col min="5123" max="5123" width="12.85546875" style="2" bestFit="1" customWidth="1"/>
    <col min="5124" max="5124" width="9.85546875" style="2" bestFit="1" customWidth="1"/>
    <col min="5125" max="5125" width="7.7109375" style="2" customWidth="1"/>
    <col min="5126" max="5126" width="7" style="2" customWidth="1"/>
    <col min="5127" max="5127" width="6.7109375" style="2" customWidth="1"/>
    <col min="5128" max="5128" width="11.85546875" style="2" customWidth="1"/>
    <col min="5129" max="5129" width="13.85546875" style="2" customWidth="1"/>
    <col min="5130" max="5377" width="9.140625" style="2"/>
    <col min="5378" max="5378" width="15.85546875" style="2" bestFit="1" customWidth="1"/>
    <col min="5379" max="5379" width="12.85546875" style="2" bestFit="1" customWidth="1"/>
    <col min="5380" max="5380" width="9.85546875" style="2" bestFit="1" customWidth="1"/>
    <col min="5381" max="5381" width="7.7109375" style="2" customWidth="1"/>
    <col min="5382" max="5382" width="7" style="2" customWidth="1"/>
    <col min="5383" max="5383" width="6.7109375" style="2" customWidth="1"/>
    <col min="5384" max="5384" width="11.85546875" style="2" customWidth="1"/>
    <col min="5385" max="5385" width="13.85546875" style="2" customWidth="1"/>
    <col min="5386" max="5633" width="9.140625" style="2"/>
    <col min="5634" max="5634" width="15.85546875" style="2" bestFit="1" customWidth="1"/>
    <col min="5635" max="5635" width="12.85546875" style="2" bestFit="1" customWidth="1"/>
    <col min="5636" max="5636" width="9.85546875" style="2" bestFit="1" customWidth="1"/>
    <col min="5637" max="5637" width="7.7109375" style="2" customWidth="1"/>
    <col min="5638" max="5638" width="7" style="2" customWidth="1"/>
    <col min="5639" max="5639" width="6.7109375" style="2" customWidth="1"/>
    <col min="5640" max="5640" width="11.85546875" style="2" customWidth="1"/>
    <col min="5641" max="5641" width="13.85546875" style="2" customWidth="1"/>
    <col min="5642" max="5889" width="9.140625" style="2"/>
    <col min="5890" max="5890" width="15.85546875" style="2" bestFit="1" customWidth="1"/>
    <col min="5891" max="5891" width="12.85546875" style="2" bestFit="1" customWidth="1"/>
    <col min="5892" max="5892" width="9.85546875" style="2" bestFit="1" customWidth="1"/>
    <col min="5893" max="5893" width="7.7109375" style="2" customWidth="1"/>
    <col min="5894" max="5894" width="7" style="2" customWidth="1"/>
    <col min="5895" max="5895" width="6.7109375" style="2" customWidth="1"/>
    <col min="5896" max="5896" width="11.85546875" style="2" customWidth="1"/>
    <col min="5897" max="5897" width="13.85546875" style="2" customWidth="1"/>
    <col min="5898" max="6145" width="9.140625" style="2"/>
    <col min="6146" max="6146" width="15.85546875" style="2" bestFit="1" customWidth="1"/>
    <col min="6147" max="6147" width="12.85546875" style="2" bestFit="1" customWidth="1"/>
    <col min="6148" max="6148" width="9.85546875" style="2" bestFit="1" customWidth="1"/>
    <col min="6149" max="6149" width="7.7109375" style="2" customWidth="1"/>
    <col min="6150" max="6150" width="7" style="2" customWidth="1"/>
    <col min="6151" max="6151" width="6.7109375" style="2" customWidth="1"/>
    <col min="6152" max="6152" width="11.85546875" style="2" customWidth="1"/>
    <col min="6153" max="6153" width="13.85546875" style="2" customWidth="1"/>
    <col min="6154" max="6401" width="9.140625" style="2"/>
    <col min="6402" max="6402" width="15.85546875" style="2" bestFit="1" customWidth="1"/>
    <col min="6403" max="6403" width="12.85546875" style="2" bestFit="1" customWidth="1"/>
    <col min="6404" max="6404" width="9.85546875" style="2" bestFit="1" customWidth="1"/>
    <col min="6405" max="6405" width="7.7109375" style="2" customWidth="1"/>
    <col min="6406" max="6406" width="7" style="2" customWidth="1"/>
    <col min="6407" max="6407" width="6.7109375" style="2" customWidth="1"/>
    <col min="6408" max="6408" width="11.85546875" style="2" customWidth="1"/>
    <col min="6409" max="6409" width="13.85546875" style="2" customWidth="1"/>
    <col min="6410" max="6657" width="9.140625" style="2"/>
    <col min="6658" max="6658" width="15.85546875" style="2" bestFit="1" customWidth="1"/>
    <col min="6659" max="6659" width="12.85546875" style="2" bestFit="1" customWidth="1"/>
    <col min="6660" max="6660" width="9.85546875" style="2" bestFit="1" customWidth="1"/>
    <col min="6661" max="6661" width="7.7109375" style="2" customWidth="1"/>
    <col min="6662" max="6662" width="7" style="2" customWidth="1"/>
    <col min="6663" max="6663" width="6.7109375" style="2" customWidth="1"/>
    <col min="6664" max="6664" width="11.85546875" style="2" customWidth="1"/>
    <col min="6665" max="6665" width="13.85546875" style="2" customWidth="1"/>
    <col min="6666" max="6913" width="9.140625" style="2"/>
    <col min="6914" max="6914" width="15.85546875" style="2" bestFit="1" customWidth="1"/>
    <col min="6915" max="6915" width="12.85546875" style="2" bestFit="1" customWidth="1"/>
    <col min="6916" max="6916" width="9.85546875" style="2" bestFit="1" customWidth="1"/>
    <col min="6917" max="6917" width="7.7109375" style="2" customWidth="1"/>
    <col min="6918" max="6918" width="7" style="2" customWidth="1"/>
    <col min="6919" max="6919" width="6.7109375" style="2" customWidth="1"/>
    <col min="6920" max="6920" width="11.85546875" style="2" customWidth="1"/>
    <col min="6921" max="6921" width="13.85546875" style="2" customWidth="1"/>
    <col min="6922" max="7169" width="9.140625" style="2"/>
    <col min="7170" max="7170" width="15.85546875" style="2" bestFit="1" customWidth="1"/>
    <col min="7171" max="7171" width="12.85546875" style="2" bestFit="1" customWidth="1"/>
    <col min="7172" max="7172" width="9.85546875" style="2" bestFit="1" customWidth="1"/>
    <col min="7173" max="7173" width="7.7109375" style="2" customWidth="1"/>
    <col min="7174" max="7174" width="7" style="2" customWidth="1"/>
    <col min="7175" max="7175" width="6.7109375" style="2" customWidth="1"/>
    <col min="7176" max="7176" width="11.85546875" style="2" customWidth="1"/>
    <col min="7177" max="7177" width="13.85546875" style="2" customWidth="1"/>
    <col min="7178" max="7425" width="9.140625" style="2"/>
    <col min="7426" max="7426" width="15.85546875" style="2" bestFit="1" customWidth="1"/>
    <col min="7427" max="7427" width="12.85546875" style="2" bestFit="1" customWidth="1"/>
    <col min="7428" max="7428" width="9.85546875" style="2" bestFit="1" customWidth="1"/>
    <col min="7429" max="7429" width="7.7109375" style="2" customWidth="1"/>
    <col min="7430" max="7430" width="7" style="2" customWidth="1"/>
    <col min="7431" max="7431" width="6.7109375" style="2" customWidth="1"/>
    <col min="7432" max="7432" width="11.85546875" style="2" customWidth="1"/>
    <col min="7433" max="7433" width="13.85546875" style="2" customWidth="1"/>
    <col min="7434" max="7681" width="9.140625" style="2"/>
    <col min="7682" max="7682" width="15.85546875" style="2" bestFit="1" customWidth="1"/>
    <col min="7683" max="7683" width="12.85546875" style="2" bestFit="1" customWidth="1"/>
    <col min="7684" max="7684" width="9.85546875" style="2" bestFit="1" customWidth="1"/>
    <col min="7685" max="7685" width="7.7109375" style="2" customWidth="1"/>
    <col min="7686" max="7686" width="7" style="2" customWidth="1"/>
    <col min="7687" max="7687" width="6.7109375" style="2" customWidth="1"/>
    <col min="7688" max="7688" width="11.85546875" style="2" customWidth="1"/>
    <col min="7689" max="7689" width="13.85546875" style="2" customWidth="1"/>
    <col min="7690" max="7937" width="9.140625" style="2"/>
    <col min="7938" max="7938" width="15.85546875" style="2" bestFit="1" customWidth="1"/>
    <col min="7939" max="7939" width="12.85546875" style="2" bestFit="1" customWidth="1"/>
    <col min="7940" max="7940" width="9.85546875" style="2" bestFit="1" customWidth="1"/>
    <col min="7941" max="7941" width="7.7109375" style="2" customWidth="1"/>
    <col min="7942" max="7942" width="7" style="2" customWidth="1"/>
    <col min="7943" max="7943" width="6.7109375" style="2" customWidth="1"/>
    <col min="7944" max="7944" width="11.85546875" style="2" customWidth="1"/>
    <col min="7945" max="7945" width="13.85546875" style="2" customWidth="1"/>
    <col min="7946" max="8193" width="9.140625" style="2"/>
    <col min="8194" max="8194" width="15.85546875" style="2" bestFit="1" customWidth="1"/>
    <col min="8195" max="8195" width="12.85546875" style="2" bestFit="1" customWidth="1"/>
    <col min="8196" max="8196" width="9.85546875" style="2" bestFit="1" customWidth="1"/>
    <col min="8197" max="8197" width="7.7109375" style="2" customWidth="1"/>
    <col min="8198" max="8198" width="7" style="2" customWidth="1"/>
    <col min="8199" max="8199" width="6.7109375" style="2" customWidth="1"/>
    <col min="8200" max="8200" width="11.85546875" style="2" customWidth="1"/>
    <col min="8201" max="8201" width="13.85546875" style="2" customWidth="1"/>
    <col min="8202" max="8449" width="9.140625" style="2"/>
    <col min="8450" max="8450" width="15.85546875" style="2" bestFit="1" customWidth="1"/>
    <col min="8451" max="8451" width="12.85546875" style="2" bestFit="1" customWidth="1"/>
    <col min="8452" max="8452" width="9.85546875" style="2" bestFit="1" customWidth="1"/>
    <col min="8453" max="8453" width="7.7109375" style="2" customWidth="1"/>
    <col min="8454" max="8454" width="7" style="2" customWidth="1"/>
    <col min="8455" max="8455" width="6.7109375" style="2" customWidth="1"/>
    <col min="8456" max="8456" width="11.85546875" style="2" customWidth="1"/>
    <col min="8457" max="8457" width="13.85546875" style="2" customWidth="1"/>
    <col min="8458" max="8705" width="9.140625" style="2"/>
    <col min="8706" max="8706" width="15.85546875" style="2" bestFit="1" customWidth="1"/>
    <col min="8707" max="8707" width="12.85546875" style="2" bestFit="1" customWidth="1"/>
    <col min="8708" max="8708" width="9.85546875" style="2" bestFit="1" customWidth="1"/>
    <col min="8709" max="8709" width="7.7109375" style="2" customWidth="1"/>
    <col min="8710" max="8710" width="7" style="2" customWidth="1"/>
    <col min="8711" max="8711" width="6.7109375" style="2" customWidth="1"/>
    <col min="8712" max="8712" width="11.85546875" style="2" customWidth="1"/>
    <col min="8713" max="8713" width="13.85546875" style="2" customWidth="1"/>
    <col min="8714" max="8961" width="9.140625" style="2"/>
    <col min="8962" max="8962" width="15.85546875" style="2" bestFit="1" customWidth="1"/>
    <col min="8963" max="8963" width="12.85546875" style="2" bestFit="1" customWidth="1"/>
    <col min="8964" max="8964" width="9.85546875" style="2" bestFit="1" customWidth="1"/>
    <col min="8965" max="8965" width="7.7109375" style="2" customWidth="1"/>
    <col min="8966" max="8966" width="7" style="2" customWidth="1"/>
    <col min="8967" max="8967" width="6.7109375" style="2" customWidth="1"/>
    <col min="8968" max="8968" width="11.85546875" style="2" customWidth="1"/>
    <col min="8969" max="8969" width="13.85546875" style="2" customWidth="1"/>
    <col min="8970" max="9217" width="9.140625" style="2"/>
    <col min="9218" max="9218" width="15.85546875" style="2" bestFit="1" customWidth="1"/>
    <col min="9219" max="9219" width="12.85546875" style="2" bestFit="1" customWidth="1"/>
    <col min="9220" max="9220" width="9.85546875" style="2" bestFit="1" customWidth="1"/>
    <col min="9221" max="9221" width="7.7109375" style="2" customWidth="1"/>
    <col min="9222" max="9222" width="7" style="2" customWidth="1"/>
    <col min="9223" max="9223" width="6.7109375" style="2" customWidth="1"/>
    <col min="9224" max="9224" width="11.85546875" style="2" customWidth="1"/>
    <col min="9225" max="9225" width="13.85546875" style="2" customWidth="1"/>
    <col min="9226" max="9473" width="9.140625" style="2"/>
    <col min="9474" max="9474" width="15.85546875" style="2" bestFit="1" customWidth="1"/>
    <col min="9475" max="9475" width="12.85546875" style="2" bestFit="1" customWidth="1"/>
    <col min="9476" max="9476" width="9.85546875" style="2" bestFit="1" customWidth="1"/>
    <col min="9477" max="9477" width="7.7109375" style="2" customWidth="1"/>
    <col min="9478" max="9478" width="7" style="2" customWidth="1"/>
    <col min="9479" max="9479" width="6.7109375" style="2" customWidth="1"/>
    <col min="9480" max="9480" width="11.85546875" style="2" customWidth="1"/>
    <col min="9481" max="9481" width="13.85546875" style="2" customWidth="1"/>
    <col min="9482" max="9729" width="9.140625" style="2"/>
    <col min="9730" max="9730" width="15.85546875" style="2" bestFit="1" customWidth="1"/>
    <col min="9731" max="9731" width="12.85546875" style="2" bestFit="1" customWidth="1"/>
    <col min="9732" max="9732" width="9.85546875" style="2" bestFit="1" customWidth="1"/>
    <col min="9733" max="9733" width="7.7109375" style="2" customWidth="1"/>
    <col min="9734" max="9734" width="7" style="2" customWidth="1"/>
    <col min="9735" max="9735" width="6.7109375" style="2" customWidth="1"/>
    <col min="9736" max="9736" width="11.85546875" style="2" customWidth="1"/>
    <col min="9737" max="9737" width="13.85546875" style="2" customWidth="1"/>
    <col min="9738" max="9985" width="9.140625" style="2"/>
    <col min="9986" max="9986" width="15.85546875" style="2" bestFit="1" customWidth="1"/>
    <col min="9987" max="9987" width="12.85546875" style="2" bestFit="1" customWidth="1"/>
    <col min="9988" max="9988" width="9.85546875" style="2" bestFit="1" customWidth="1"/>
    <col min="9989" max="9989" width="7.7109375" style="2" customWidth="1"/>
    <col min="9990" max="9990" width="7" style="2" customWidth="1"/>
    <col min="9991" max="9991" width="6.7109375" style="2" customWidth="1"/>
    <col min="9992" max="9992" width="11.85546875" style="2" customWidth="1"/>
    <col min="9993" max="9993" width="13.85546875" style="2" customWidth="1"/>
    <col min="9994" max="10241" width="9.140625" style="2"/>
    <col min="10242" max="10242" width="15.85546875" style="2" bestFit="1" customWidth="1"/>
    <col min="10243" max="10243" width="12.85546875" style="2" bestFit="1" customWidth="1"/>
    <col min="10244" max="10244" width="9.85546875" style="2" bestFit="1" customWidth="1"/>
    <col min="10245" max="10245" width="7.7109375" style="2" customWidth="1"/>
    <col min="10246" max="10246" width="7" style="2" customWidth="1"/>
    <col min="10247" max="10247" width="6.7109375" style="2" customWidth="1"/>
    <col min="10248" max="10248" width="11.85546875" style="2" customWidth="1"/>
    <col min="10249" max="10249" width="13.85546875" style="2" customWidth="1"/>
    <col min="10250" max="10497" width="9.140625" style="2"/>
    <col min="10498" max="10498" width="15.85546875" style="2" bestFit="1" customWidth="1"/>
    <col min="10499" max="10499" width="12.85546875" style="2" bestFit="1" customWidth="1"/>
    <col min="10500" max="10500" width="9.85546875" style="2" bestFit="1" customWidth="1"/>
    <col min="10501" max="10501" width="7.7109375" style="2" customWidth="1"/>
    <col min="10502" max="10502" width="7" style="2" customWidth="1"/>
    <col min="10503" max="10503" width="6.7109375" style="2" customWidth="1"/>
    <col min="10504" max="10504" width="11.85546875" style="2" customWidth="1"/>
    <col min="10505" max="10505" width="13.85546875" style="2" customWidth="1"/>
    <col min="10506" max="10753" width="9.140625" style="2"/>
    <col min="10754" max="10754" width="15.85546875" style="2" bestFit="1" customWidth="1"/>
    <col min="10755" max="10755" width="12.85546875" style="2" bestFit="1" customWidth="1"/>
    <col min="10756" max="10756" width="9.85546875" style="2" bestFit="1" customWidth="1"/>
    <col min="10757" max="10757" width="7.7109375" style="2" customWidth="1"/>
    <col min="10758" max="10758" width="7" style="2" customWidth="1"/>
    <col min="10759" max="10759" width="6.7109375" style="2" customWidth="1"/>
    <col min="10760" max="10760" width="11.85546875" style="2" customWidth="1"/>
    <col min="10761" max="10761" width="13.85546875" style="2" customWidth="1"/>
    <col min="10762" max="11009" width="9.140625" style="2"/>
    <col min="11010" max="11010" width="15.85546875" style="2" bestFit="1" customWidth="1"/>
    <col min="11011" max="11011" width="12.85546875" style="2" bestFit="1" customWidth="1"/>
    <col min="11012" max="11012" width="9.85546875" style="2" bestFit="1" customWidth="1"/>
    <col min="11013" max="11013" width="7.7109375" style="2" customWidth="1"/>
    <col min="11014" max="11014" width="7" style="2" customWidth="1"/>
    <col min="11015" max="11015" width="6.7109375" style="2" customWidth="1"/>
    <col min="11016" max="11016" width="11.85546875" style="2" customWidth="1"/>
    <col min="11017" max="11017" width="13.85546875" style="2" customWidth="1"/>
    <col min="11018" max="11265" width="9.140625" style="2"/>
    <col min="11266" max="11266" width="15.85546875" style="2" bestFit="1" customWidth="1"/>
    <col min="11267" max="11267" width="12.85546875" style="2" bestFit="1" customWidth="1"/>
    <col min="11268" max="11268" width="9.85546875" style="2" bestFit="1" customWidth="1"/>
    <col min="11269" max="11269" width="7.7109375" style="2" customWidth="1"/>
    <col min="11270" max="11270" width="7" style="2" customWidth="1"/>
    <col min="11271" max="11271" width="6.7109375" style="2" customWidth="1"/>
    <col min="11272" max="11272" width="11.85546875" style="2" customWidth="1"/>
    <col min="11273" max="11273" width="13.85546875" style="2" customWidth="1"/>
    <col min="11274" max="11521" width="9.140625" style="2"/>
    <col min="11522" max="11522" width="15.85546875" style="2" bestFit="1" customWidth="1"/>
    <col min="11523" max="11523" width="12.85546875" style="2" bestFit="1" customWidth="1"/>
    <col min="11524" max="11524" width="9.85546875" style="2" bestFit="1" customWidth="1"/>
    <col min="11525" max="11525" width="7.7109375" style="2" customWidth="1"/>
    <col min="11526" max="11526" width="7" style="2" customWidth="1"/>
    <col min="11527" max="11527" width="6.7109375" style="2" customWidth="1"/>
    <col min="11528" max="11528" width="11.85546875" style="2" customWidth="1"/>
    <col min="11529" max="11529" width="13.85546875" style="2" customWidth="1"/>
    <col min="11530" max="11777" width="9.140625" style="2"/>
    <col min="11778" max="11778" width="15.85546875" style="2" bestFit="1" customWidth="1"/>
    <col min="11779" max="11779" width="12.85546875" style="2" bestFit="1" customWidth="1"/>
    <col min="11780" max="11780" width="9.85546875" style="2" bestFit="1" customWidth="1"/>
    <col min="11781" max="11781" width="7.7109375" style="2" customWidth="1"/>
    <col min="11782" max="11782" width="7" style="2" customWidth="1"/>
    <col min="11783" max="11783" width="6.7109375" style="2" customWidth="1"/>
    <col min="11784" max="11784" width="11.85546875" style="2" customWidth="1"/>
    <col min="11785" max="11785" width="13.85546875" style="2" customWidth="1"/>
    <col min="11786" max="12033" width="9.140625" style="2"/>
    <col min="12034" max="12034" width="15.85546875" style="2" bestFit="1" customWidth="1"/>
    <col min="12035" max="12035" width="12.85546875" style="2" bestFit="1" customWidth="1"/>
    <col min="12036" max="12036" width="9.85546875" style="2" bestFit="1" customWidth="1"/>
    <col min="12037" max="12037" width="7.7109375" style="2" customWidth="1"/>
    <col min="12038" max="12038" width="7" style="2" customWidth="1"/>
    <col min="12039" max="12039" width="6.7109375" style="2" customWidth="1"/>
    <col min="12040" max="12040" width="11.85546875" style="2" customWidth="1"/>
    <col min="12041" max="12041" width="13.85546875" style="2" customWidth="1"/>
    <col min="12042" max="12289" width="9.140625" style="2"/>
    <col min="12290" max="12290" width="15.85546875" style="2" bestFit="1" customWidth="1"/>
    <col min="12291" max="12291" width="12.85546875" style="2" bestFit="1" customWidth="1"/>
    <col min="12292" max="12292" width="9.85546875" style="2" bestFit="1" customWidth="1"/>
    <col min="12293" max="12293" width="7.7109375" style="2" customWidth="1"/>
    <col min="12294" max="12294" width="7" style="2" customWidth="1"/>
    <col min="12295" max="12295" width="6.7109375" style="2" customWidth="1"/>
    <col min="12296" max="12296" width="11.85546875" style="2" customWidth="1"/>
    <col min="12297" max="12297" width="13.85546875" style="2" customWidth="1"/>
    <col min="12298" max="12545" width="9.140625" style="2"/>
    <col min="12546" max="12546" width="15.85546875" style="2" bestFit="1" customWidth="1"/>
    <col min="12547" max="12547" width="12.85546875" style="2" bestFit="1" customWidth="1"/>
    <col min="12548" max="12548" width="9.85546875" style="2" bestFit="1" customWidth="1"/>
    <col min="12549" max="12549" width="7.7109375" style="2" customWidth="1"/>
    <col min="12550" max="12550" width="7" style="2" customWidth="1"/>
    <col min="12551" max="12551" width="6.7109375" style="2" customWidth="1"/>
    <col min="12552" max="12552" width="11.85546875" style="2" customWidth="1"/>
    <col min="12553" max="12553" width="13.85546875" style="2" customWidth="1"/>
    <col min="12554" max="12801" width="9.140625" style="2"/>
    <col min="12802" max="12802" width="15.85546875" style="2" bestFit="1" customWidth="1"/>
    <col min="12803" max="12803" width="12.85546875" style="2" bestFit="1" customWidth="1"/>
    <col min="12804" max="12804" width="9.85546875" style="2" bestFit="1" customWidth="1"/>
    <col min="12805" max="12805" width="7.7109375" style="2" customWidth="1"/>
    <col min="12806" max="12806" width="7" style="2" customWidth="1"/>
    <col min="12807" max="12807" width="6.7109375" style="2" customWidth="1"/>
    <col min="12808" max="12808" width="11.85546875" style="2" customWidth="1"/>
    <col min="12809" max="12809" width="13.85546875" style="2" customWidth="1"/>
    <col min="12810" max="13057" width="9.140625" style="2"/>
    <col min="13058" max="13058" width="15.85546875" style="2" bestFit="1" customWidth="1"/>
    <col min="13059" max="13059" width="12.85546875" style="2" bestFit="1" customWidth="1"/>
    <col min="13060" max="13060" width="9.85546875" style="2" bestFit="1" customWidth="1"/>
    <col min="13061" max="13061" width="7.7109375" style="2" customWidth="1"/>
    <col min="13062" max="13062" width="7" style="2" customWidth="1"/>
    <col min="13063" max="13063" width="6.7109375" style="2" customWidth="1"/>
    <col min="13064" max="13064" width="11.85546875" style="2" customWidth="1"/>
    <col min="13065" max="13065" width="13.85546875" style="2" customWidth="1"/>
    <col min="13066" max="13313" width="9.140625" style="2"/>
    <col min="13314" max="13314" width="15.85546875" style="2" bestFit="1" customWidth="1"/>
    <col min="13315" max="13315" width="12.85546875" style="2" bestFit="1" customWidth="1"/>
    <col min="13316" max="13316" width="9.85546875" style="2" bestFit="1" customWidth="1"/>
    <col min="13317" max="13317" width="7.7109375" style="2" customWidth="1"/>
    <col min="13318" max="13318" width="7" style="2" customWidth="1"/>
    <col min="13319" max="13319" width="6.7109375" style="2" customWidth="1"/>
    <col min="13320" max="13320" width="11.85546875" style="2" customWidth="1"/>
    <col min="13321" max="13321" width="13.85546875" style="2" customWidth="1"/>
    <col min="13322" max="13569" width="9.140625" style="2"/>
    <col min="13570" max="13570" width="15.85546875" style="2" bestFit="1" customWidth="1"/>
    <col min="13571" max="13571" width="12.85546875" style="2" bestFit="1" customWidth="1"/>
    <col min="13572" max="13572" width="9.85546875" style="2" bestFit="1" customWidth="1"/>
    <col min="13573" max="13573" width="7.7109375" style="2" customWidth="1"/>
    <col min="13574" max="13574" width="7" style="2" customWidth="1"/>
    <col min="13575" max="13575" width="6.7109375" style="2" customWidth="1"/>
    <col min="13576" max="13576" width="11.85546875" style="2" customWidth="1"/>
    <col min="13577" max="13577" width="13.85546875" style="2" customWidth="1"/>
    <col min="13578" max="13825" width="9.140625" style="2"/>
    <col min="13826" max="13826" width="15.85546875" style="2" bestFit="1" customWidth="1"/>
    <col min="13827" max="13827" width="12.85546875" style="2" bestFit="1" customWidth="1"/>
    <col min="13828" max="13828" width="9.85546875" style="2" bestFit="1" customWidth="1"/>
    <col min="13829" max="13829" width="7.7109375" style="2" customWidth="1"/>
    <col min="13830" max="13830" width="7" style="2" customWidth="1"/>
    <col min="13831" max="13831" width="6.7109375" style="2" customWidth="1"/>
    <col min="13832" max="13832" width="11.85546875" style="2" customWidth="1"/>
    <col min="13833" max="13833" width="13.85546875" style="2" customWidth="1"/>
    <col min="13834" max="14081" width="9.140625" style="2"/>
    <col min="14082" max="14082" width="15.85546875" style="2" bestFit="1" customWidth="1"/>
    <col min="14083" max="14083" width="12.85546875" style="2" bestFit="1" customWidth="1"/>
    <col min="14084" max="14084" width="9.85546875" style="2" bestFit="1" customWidth="1"/>
    <col min="14085" max="14085" width="7.7109375" style="2" customWidth="1"/>
    <col min="14086" max="14086" width="7" style="2" customWidth="1"/>
    <col min="14087" max="14087" width="6.7109375" style="2" customWidth="1"/>
    <col min="14088" max="14088" width="11.85546875" style="2" customWidth="1"/>
    <col min="14089" max="14089" width="13.85546875" style="2" customWidth="1"/>
    <col min="14090" max="14337" width="9.140625" style="2"/>
    <col min="14338" max="14338" width="15.85546875" style="2" bestFit="1" customWidth="1"/>
    <col min="14339" max="14339" width="12.85546875" style="2" bestFit="1" customWidth="1"/>
    <col min="14340" max="14340" width="9.85546875" style="2" bestFit="1" customWidth="1"/>
    <col min="14341" max="14341" width="7.7109375" style="2" customWidth="1"/>
    <col min="14342" max="14342" width="7" style="2" customWidth="1"/>
    <col min="14343" max="14343" width="6.7109375" style="2" customWidth="1"/>
    <col min="14344" max="14344" width="11.85546875" style="2" customWidth="1"/>
    <col min="14345" max="14345" width="13.85546875" style="2" customWidth="1"/>
    <col min="14346" max="14593" width="9.140625" style="2"/>
    <col min="14594" max="14594" width="15.85546875" style="2" bestFit="1" customWidth="1"/>
    <col min="14595" max="14595" width="12.85546875" style="2" bestFit="1" customWidth="1"/>
    <col min="14596" max="14596" width="9.85546875" style="2" bestFit="1" customWidth="1"/>
    <col min="14597" max="14597" width="7.7109375" style="2" customWidth="1"/>
    <col min="14598" max="14598" width="7" style="2" customWidth="1"/>
    <col min="14599" max="14599" width="6.7109375" style="2" customWidth="1"/>
    <col min="14600" max="14600" width="11.85546875" style="2" customWidth="1"/>
    <col min="14601" max="14601" width="13.85546875" style="2" customWidth="1"/>
    <col min="14602" max="14849" width="9.140625" style="2"/>
    <col min="14850" max="14850" width="15.85546875" style="2" bestFit="1" customWidth="1"/>
    <col min="14851" max="14851" width="12.85546875" style="2" bestFit="1" customWidth="1"/>
    <col min="14852" max="14852" width="9.85546875" style="2" bestFit="1" customWidth="1"/>
    <col min="14853" max="14853" width="7.7109375" style="2" customWidth="1"/>
    <col min="14854" max="14854" width="7" style="2" customWidth="1"/>
    <col min="14855" max="14855" width="6.7109375" style="2" customWidth="1"/>
    <col min="14856" max="14856" width="11.85546875" style="2" customWidth="1"/>
    <col min="14857" max="14857" width="13.85546875" style="2" customWidth="1"/>
    <col min="14858" max="15105" width="9.140625" style="2"/>
    <col min="15106" max="15106" width="15.85546875" style="2" bestFit="1" customWidth="1"/>
    <col min="15107" max="15107" width="12.85546875" style="2" bestFit="1" customWidth="1"/>
    <col min="15108" max="15108" width="9.85546875" style="2" bestFit="1" customWidth="1"/>
    <col min="15109" max="15109" width="7.7109375" style="2" customWidth="1"/>
    <col min="15110" max="15110" width="7" style="2" customWidth="1"/>
    <col min="15111" max="15111" width="6.7109375" style="2" customWidth="1"/>
    <col min="15112" max="15112" width="11.85546875" style="2" customWidth="1"/>
    <col min="15113" max="15113" width="13.85546875" style="2" customWidth="1"/>
    <col min="15114" max="15361" width="9.140625" style="2"/>
    <col min="15362" max="15362" width="15.85546875" style="2" bestFit="1" customWidth="1"/>
    <col min="15363" max="15363" width="12.85546875" style="2" bestFit="1" customWidth="1"/>
    <col min="15364" max="15364" width="9.85546875" style="2" bestFit="1" customWidth="1"/>
    <col min="15365" max="15365" width="7.7109375" style="2" customWidth="1"/>
    <col min="15366" max="15366" width="7" style="2" customWidth="1"/>
    <col min="15367" max="15367" width="6.7109375" style="2" customWidth="1"/>
    <col min="15368" max="15368" width="11.85546875" style="2" customWidth="1"/>
    <col min="15369" max="15369" width="13.85546875" style="2" customWidth="1"/>
    <col min="15370" max="15617" width="9.140625" style="2"/>
    <col min="15618" max="15618" width="15.85546875" style="2" bestFit="1" customWidth="1"/>
    <col min="15619" max="15619" width="12.85546875" style="2" bestFit="1" customWidth="1"/>
    <col min="15620" max="15620" width="9.85546875" style="2" bestFit="1" customWidth="1"/>
    <col min="15621" max="15621" width="7.7109375" style="2" customWidth="1"/>
    <col min="15622" max="15622" width="7" style="2" customWidth="1"/>
    <col min="15623" max="15623" width="6.7109375" style="2" customWidth="1"/>
    <col min="15624" max="15624" width="11.85546875" style="2" customWidth="1"/>
    <col min="15625" max="15625" width="13.85546875" style="2" customWidth="1"/>
    <col min="15626" max="15873" width="9.140625" style="2"/>
    <col min="15874" max="15874" width="15.85546875" style="2" bestFit="1" customWidth="1"/>
    <col min="15875" max="15875" width="12.85546875" style="2" bestFit="1" customWidth="1"/>
    <col min="15876" max="15876" width="9.85546875" style="2" bestFit="1" customWidth="1"/>
    <col min="15877" max="15877" width="7.7109375" style="2" customWidth="1"/>
    <col min="15878" max="15878" width="7" style="2" customWidth="1"/>
    <col min="15879" max="15879" width="6.7109375" style="2" customWidth="1"/>
    <col min="15880" max="15880" width="11.85546875" style="2" customWidth="1"/>
    <col min="15881" max="15881" width="13.85546875" style="2" customWidth="1"/>
    <col min="15882" max="16129" width="9.140625" style="2"/>
    <col min="16130" max="16130" width="15.85546875" style="2" bestFit="1" customWidth="1"/>
    <col min="16131" max="16131" width="12.85546875" style="2" bestFit="1" customWidth="1"/>
    <col min="16132" max="16132" width="9.85546875" style="2" bestFit="1" customWidth="1"/>
    <col min="16133" max="16133" width="7.7109375" style="2" customWidth="1"/>
    <col min="16134" max="16134" width="7" style="2" customWidth="1"/>
    <col min="16135" max="16135" width="6.7109375" style="2" customWidth="1"/>
    <col min="16136" max="16136" width="11.85546875" style="2" customWidth="1"/>
    <col min="16137" max="16137" width="13.85546875" style="2" customWidth="1"/>
    <col min="16138" max="16384" width="9.140625" style="2"/>
  </cols>
  <sheetData>
    <row r="1" spans="1:9" x14ac:dyDescent="0.2">
      <c r="A1" s="1"/>
    </row>
    <row r="3" spans="1:9" ht="101.25" customHeight="1" x14ac:dyDescent="0.2"/>
    <row r="4" spans="1:9" x14ac:dyDescent="0.2">
      <c r="A4" s="3" t="s">
        <v>0</v>
      </c>
    </row>
    <row r="5" spans="1:9" ht="12.75" customHeight="1" x14ac:dyDescent="0.2"/>
    <row r="6" spans="1:9" ht="15" customHeight="1" x14ac:dyDescent="0.2">
      <c r="A6" s="26" t="s">
        <v>1</v>
      </c>
      <c r="B6" s="26" t="s">
        <v>2</v>
      </c>
      <c r="C6" s="26" t="s">
        <v>3</v>
      </c>
      <c r="D6" s="27" t="s">
        <v>24</v>
      </c>
      <c r="E6" s="23" t="s">
        <v>4</v>
      </c>
      <c r="F6" s="23" t="s">
        <v>23</v>
      </c>
      <c r="G6" s="27" t="s">
        <v>5</v>
      </c>
      <c r="H6" s="23" t="s">
        <v>6</v>
      </c>
      <c r="I6" s="23" t="s">
        <v>22</v>
      </c>
    </row>
    <row r="7" spans="1:9" ht="50.25" customHeight="1" x14ac:dyDescent="0.2">
      <c r="A7" s="26"/>
      <c r="B7" s="26"/>
      <c r="C7" s="26"/>
      <c r="D7" s="27"/>
      <c r="E7" s="24"/>
      <c r="F7" s="24"/>
      <c r="G7" s="27"/>
      <c r="H7" s="24"/>
      <c r="I7" s="24"/>
    </row>
    <row r="8" spans="1:9" ht="15" x14ac:dyDescent="0.25">
      <c r="A8" s="4" t="s">
        <v>7</v>
      </c>
      <c r="B8" s="4"/>
      <c r="C8" s="5">
        <v>2.5</v>
      </c>
      <c r="D8" s="6">
        <v>50</v>
      </c>
      <c r="E8" s="6">
        <v>60</v>
      </c>
      <c r="F8" s="6">
        <v>200</v>
      </c>
      <c r="G8" s="10" t="str">
        <f>IF(D8&lt;E8,"TAK","NIE")</f>
        <v>TAK</v>
      </c>
      <c r="H8" s="6">
        <f>IF(G8="tak",F8-D8,"")</f>
        <v>150</v>
      </c>
      <c r="I8" s="6">
        <f>IF(G8="TAK",C8*H8,"")</f>
        <v>375</v>
      </c>
    </row>
    <row r="9" spans="1:9" ht="15" x14ac:dyDescent="0.25">
      <c r="A9" s="25" t="s">
        <v>8</v>
      </c>
      <c r="B9" s="4" t="s">
        <v>9</v>
      </c>
      <c r="C9" s="5">
        <v>0.8</v>
      </c>
      <c r="D9" s="6">
        <v>99</v>
      </c>
      <c r="E9" s="6">
        <v>100</v>
      </c>
      <c r="F9" s="6">
        <v>150</v>
      </c>
      <c r="G9" s="10" t="str">
        <f t="shared" ref="G9:G18" si="0">IF(D9&lt;E9,"TAK","NIE")</f>
        <v>TAK</v>
      </c>
      <c r="H9" s="6">
        <f t="shared" ref="H9:H18" si="1">IF(G9="tak",F9-D9,"")</f>
        <v>51</v>
      </c>
      <c r="I9" s="6">
        <f t="shared" ref="I9:I18" si="2">IF(G9="TAK",C9*H9,"")</f>
        <v>40.800000000000004</v>
      </c>
    </row>
    <row r="10" spans="1:9" ht="15" x14ac:dyDescent="0.25">
      <c r="A10" s="25"/>
      <c r="B10" s="4" t="s">
        <v>10</v>
      </c>
      <c r="C10" s="5">
        <v>1.2</v>
      </c>
      <c r="D10" s="6">
        <v>200</v>
      </c>
      <c r="E10" s="6">
        <v>100</v>
      </c>
      <c r="F10" s="6">
        <v>200</v>
      </c>
      <c r="G10" s="10" t="str">
        <f t="shared" si="0"/>
        <v>NIE</v>
      </c>
      <c r="H10" s="6" t="str">
        <f t="shared" si="1"/>
        <v/>
      </c>
      <c r="I10" s="6" t="str">
        <f t="shared" si="2"/>
        <v/>
      </c>
    </row>
    <row r="11" spans="1:9" ht="15" x14ac:dyDescent="0.25">
      <c r="A11" s="25"/>
      <c r="B11" s="4" t="s">
        <v>11</v>
      </c>
      <c r="C11" s="5">
        <v>1.4</v>
      </c>
      <c r="D11" s="6">
        <v>200</v>
      </c>
      <c r="E11" s="6">
        <v>100</v>
      </c>
      <c r="F11" s="6">
        <v>200</v>
      </c>
      <c r="G11" s="10" t="str">
        <f t="shared" si="0"/>
        <v>NIE</v>
      </c>
      <c r="H11" s="6" t="str">
        <f t="shared" si="1"/>
        <v/>
      </c>
      <c r="I11" s="6" t="str">
        <f t="shared" si="2"/>
        <v/>
      </c>
    </row>
    <row r="12" spans="1:9" ht="15" x14ac:dyDescent="0.25">
      <c r="A12" s="4" t="s">
        <v>12</v>
      </c>
      <c r="B12" s="4"/>
      <c r="C12" s="5">
        <v>0.3</v>
      </c>
      <c r="D12" s="6">
        <v>100</v>
      </c>
      <c r="E12" s="6">
        <v>40</v>
      </c>
      <c r="F12" s="6">
        <v>150</v>
      </c>
      <c r="G12" s="10" t="str">
        <f t="shared" si="0"/>
        <v>NIE</v>
      </c>
      <c r="H12" s="6" t="str">
        <f t="shared" si="1"/>
        <v/>
      </c>
      <c r="I12" s="6" t="str">
        <f t="shared" si="2"/>
        <v/>
      </c>
    </row>
    <row r="13" spans="1:9" ht="15" x14ac:dyDescent="0.25">
      <c r="A13" s="4" t="s">
        <v>13</v>
      </c>
      <c r="B13" s="4"/>
      <c r="C13" s="5">
        <v>0.1</v>
      </c>
      <c r="D13" s="6">
        <v>10</v>
      </c>
      <c r="E13" s="6">
        <v>20</v>
      </c>
      <c r="F13" s="6">
        <v>100</v>
      </c>
      <c r="G13" s="10" t="str">
        <f t="shared" si="0"/>
        <v>TAK</v>
      </c>
      <c r="H13" s="6">
        <f t="shared" si="1"/>
        <v>90</v>
      </c>
      <c r="I13" s="6">
        <f t="shared" si="2"/>
        <v>9</v>
      </c>
    </row>
    <row r="14" spans="1:9" ht="15" x14ac:dyDescent="0.25">
      <c r="A14" s="25" t="s">
        <v>14</v>
      </c>
      <c r="B14" s="4" t="s">
        <v>15</v>
      </c>
      <c r="C14" s="5">
        <v>1.99</v>
      </c>
      <c r="D14" s="6">
        <v>30</v>
      </c>
      <c r="E14" s="6">
        <v>40</v>
      </c>
      <c r="F14" s="6">
        <v>100</v>
      </c>
      <c r="G14" s="10" t="str">
        <f t="shared" si="0"/>
        <v>TAK</v>
      </c>
      <c r="H14" s="6">
        <f t="shared" si="1"/>
        <v>70</v>
      </c>
      <c r="I14" s="6">
        <f t="shared" si="2"/>
        <v>139.30000000000001</v>
      </c>
    </row>
    <row r="15" spans="1:9" ht="15" x14ac:dyDescent="0.25">
      <c r="A15" s="25"/>
      <c r="B15" s="4" t="s">
        <v>16</v>
      </c>
      <c r="C15" s="5">
        <v>2.15</v>
      </c>
      <c r="D15" s="6">
        <v>20</v>
      </c>
      <c r="E15" s="6">
        <v>40</v>
      </c>
      <c r="F15" s="6">
        <v>100</v>
      </c>
      <c r="G15" s="10" t="str">
        <f t="shared" si="0"/>
        <v>TAK</v>
      </c>
      <c r="H15" s="6">
        <f t="shared" si="1"/>
        <v>80</v>
      </c>
      <c r="I15" s="6">
        <f t="shared" si="2"/>
        <v>172</v>
      </c>
    </row>
    <row r="16" spans="1:9" ht="15" x14ac:dyDescent="0.25">
      <c r="A16" s="25"/>
      <c r="B16" s="4" t="s">
        <v>17</v>
      </c>
      <c r="C16" s="5">
        <v>2.99</v>
      </c>
      <c r="D16" s="6">
        <v>100</v>
      </c>
      <c r="E16" s="6">
        <v>40</v>
      </c>
      <c r="F16" s="6">
        <v>100</v>
      </c>
      <c r="G16" s="10" t="str">
        <f t="shared" si="0"/>
        <v>NIE</v>
      </c>
      <c r="H16" s="6" t="str">
        <f t="shared" si="1"/>
        <v/>
      </c>
      <c r="I16" s="6" t="str">
        <f t="shared" si="2"/>
        <v/>
      </c>
    </row>
    <row r="17" spans="1:9" ht="15" x14ac:dyDescent="0.25">
      <c r="A17" s="25" t="s">
        <v>18</v>
      </c>
      <c r="B17" s="4" t="s">
        <v>19</v>
      </c>
      <c r="C17" s="5">
        <v>1.5</v>
      </c>
      <c r="D17" s="6">
        <v>15</v>
      </c>
      <c r="E17" s="6">
        <v>20</v>
      </c>
      <c r="F17" s="6">
        <v>50</v>
      </c>
      <c r="G17" s="10" t="str">
        <f t="shared" si="0"/>
        <v>TAK</v>
      </c>
      <c r="H17" s="6">
        <f t="shared" si="1"/>
        <v>35</v>
      </c>
      <c r="I17" s="6">
        <f t="shared" si="2"/>
        <v>52.5</v>
      </c>
    </row>
    <row r="18" spans="1:9" ht="15" x14ac:dyDescent="0.25">
      <c r="A18" s="25"/>
      <c r="B18" s="4" t="s">
        <v>20</v>
      </c>
      <c r="C18" s="5">
        <v>1.25</v>
      </c>
      <c r="D18" s="6">
        <v>50</v>
      </c>
      <c r="E18" s="6">
        <v>20</v>
      </c>
      <c r="F18" s="6">
        <v>50</v>
      </c>
      <c r="G18" s="10" t="str">
        <f t="shared" si="0"/>
        <v>NIE</v>
      </c>
      <c r="H18" s="6" t="str">
        <f t="shared" si="1"/>
        <v/>
      </c>
      <c r="I18" s="6" t="str">
        <f t="shared" si="2"/>
        <v/>
      </c>
    </row>
    <row r="19" spans="1:9" x14ac:dyDescent="0.2">
      <c r="G19" s="9" t="s">
        <v>21</v>
      </c>
      <c r="H19" s="11">
        <f>SUM(H8:H18)</f>
        <v>476</v>
      </c>
      <c r="I19" s="7">
        <f>SUM(I8:I18)</f>
        <v>788.6</v>
      </c>
    </row>
    <row r="24" spans="1:9" ht="12.75" customHeight="1" x14ac:dyDescent="0.2"/>
  </sheetData>
  <mergeCells count="12">
    <mergeCell ref="H6:H7"/>
    <mergeCell ref="I6:I7"/>
    <mergeCell ref="A9:A11"/>
    <mergeCell ref="A14:A16"/>
    <mergeCell ref="A17:A18"/>
    <mergeCell ref="F6:F7"/>
    <mergeCell ref="A6:A7"/>
    <mergeCell ref="B6:B7"/>
    <mergeCell ref="C6:C7"/>
    <mergeCell ref="D6:D7"/>
    <mergeCell ref="E6:E7"/>
    <mergeCell ref="G6:G7"/>
  </mergeCell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8E6A-B623-4FB8-9CA6-96C4CA0E2908}">
  <dimension ref="A1:G17"/>
  <sheetViews>
    <sheetView workbookViewId="0">
      <selection activeCell="H10" sqref="H10"/>
    </sheetView>
  </sheetViews>
  <sheetFormatPr defaultRowHeight="15" x14ac:dyDescent="0.25"/>
  <cols>
    <col min="1" max="1" width="14.5703125" customWidth="1"/>
    <col min="2" max="6" width="10.140625" bestFit="1" customWidth="1"/>
    <col min="7" max="7" width="18.7109375" customWidth="1"/>
  </cols>
  <sheetData>
    <row r="1" spans="1:7" ht="64.5" customHeight="1" x14ac:dyDescent="0.25"/>
    <row r="3" spans="1:7" x14ac:dyDescent="0.25">
      <c r="A3" s="12" t="s">
        <v>25</v>
      </c>
      <c r="B3" s="13">
        <v>0.375</v>
      </c>
      <c r="C3" s="13">
        <v>0.41666666666666702</v>
      </c>
      <c r="D3" s="13">
        <v>0.45833333333333298</v>
      </c>
      <c r="E3" s="13">
        <v>0.5</v>
      </c>
      <c r="F3" s="13">
        <v>0.54166666666666696</v>
      </c>
      <c r="G3" s="12" t="s">
        <v>40</v>
      </c>
    </row>
    <row r="4" spans="1:7" x14ac:dyDescent="0.25">
      <c r="A4" t="s">
        <v>26</v>
      </c>
      <c r="B4">
        <v>7921</v>
      </c>
      <c r="C4">
        <v>7921</v>
      </c>
      <c r="D4">
        <v>7921</v>
      </c>
      <c r="E4">
        <v>7921</v>
      </c>
      <c r="F4">
        <v>7921</v>
      </c>
      <c r="G4" s="14" t="str">
        <f>IF(STDEVA(B4:F4)=0,"tak","nie")</f>
        <v>tak</v>
      </c>
    </row>
    <row r="5" spans="1:7" x14ac:dyDescent="0.25">
      <c r="A5" t="s">
        <v>27</v>
      </c>
      <c r="B5">
        <v>6513</v>
      </c>
      <c r="C5">
        <v>6513</v>
      </c>
      <c r="D5">
        <v>6523</v>
      </c>
      <c r="E5">
        <v>6513</v>
      </c>
      <c r="F5">
        <v>6513</v>
      </c>
      <c r="G5" s="14" t="str">
        <f t="shared" ref="G5:G17" si="0">IF(STDEVA(B5:F5)=0,"tak","nie")</f>
        <v>nie</v>
      </c>
    </row>
    <row r="6" spans="1:7" x14ac:dyDescent="0.25">
      <c r="A6" t="s">
        <v>28</v>
      </c>
      <c r="B6">
        <v>6516</v>
      </c>
      <c r="C6">
        <v>6516</v>
      </c>
      <c r="D6">
        <v>6516</v>
      </c>
      <c r="E6">
        <v>6516</v>
      </c>
      <c r="F6">
        <v>6516</v>
      </c>
      <c r="G6" s="14" t="str">
        <f t="shared" si="0"/>
        <v>tak</v>
      </c>
    </row>
    <row r="7" spans="1:7" x14ac:dyDescent="0.25">
      <c r="A7" t="s">
        <v>29</v>
      </c>
      <c r="B7">
        <v>3750</v>
      </c>
      <c r="C7">
        <v>3850</v>
      </c>
      <c r="D7">
        <v>3760</v>
      </c>
      <c r="E7">
        <v>3750</v>
      </c>
      <c r="F7">
        <v>0</v>
      </c>
      <c r="G7" s="14" t="str">
        <f t="shared" si="0"/>
        <v>nie</v>
      </c>
    </row>
    <row r="8" spans="1:7" x14ac:dyDescent="0.25">
      <c r="A8" t="s">
        <v>30</v>
      </c>
      <c r="B8">
        <v>7040</v>
      </c>
      <c r="C8">
        <v>7040</v>
      </c>
      <c r="D8">
        <v>7040</v>
      </c>
      <c r="E8">
        <v>7040</v>
      </c>
      <c r="F8">
        <v>7040</v>
      </c>
      <c r="G8" s="14" t="str">
        <f t="shared" si="0"/>
        <v>tak</v>
      </c>
    </row>
    <row r="9" spans="1:7" x14ac:dyDescent="0.25">
      <c r="A9" t="s">
        <v>31</v>
      </c>
      <c r="B9">
        <v>7997</v>
      </c>
      <c r="C9">
        <v>7997</v>
      </c>
      <c r="D9">
        <v>7993</v>
      </c>
      <c r="E9">
        <v>7997</v>
      </c>
      <c r="F9">
        <v>7997</v>
      </c>
      <c r="G9" s="14" t="str">
        <f t="shared" si="0"/>
        <v>nie</v>
      </c>
    </row>
    <row r="10" spans="1:7" x14ac:dyDescent="0.25">
      <c r="A10" t="s">
        <v>32</v>
      </c>
      <c r="B10">
        <v>2085</v>
      </c>
      <c r="C10">
        <v>2085</v>
      </c>
      <c r="D10">
        <v>2085</v>
      </c>
      <c r="E10">
        <v>2085</v>
      </c>
      <c r="F10">
        <v>2085</v>
      </c>
      <c r="G10" s="14" t="str">
        <f t="shared" si="0"/>
        <v>tak</v>
      </c>
    </row>
    <row r="11" spans="1:7" x14ac:dyDescent="0.25">
      <c r="A11" t="s">
        <v>33</v>
      </c>
      <c r="B11">
        <v>6623</v>
      </c>
      <c r="C11">
        <v>6523</v>
      </c>
      <c r="D11">
        <v>6623</v>
      </c>
      <c r="E11">
        <v>6623</v>
      </c>
      <c r="F11">
        <v>6623</v>
      </c>
      <c r="G11" s="14" t="str">
        <f t="shared" si="0"/>
        <v>nie</v>
      </c>
    </row>
    <row r="12" spans="1:7" x14ac:dyDescent="0.25">
      <c r="A12" t="s">
        <v>34</v>
      </c>
      <c r="B12">
        <v>7160</v>
      </c>
      <c r="C12">
        <v>7160</v>
      </c>
      <c r="D12">
        <v>7160</v>
      </c>
      <c r="E12">
        <v>7960</v>
      </c>
      <c r="F12">
        <v>0</v>
      </c>
      <c r="G12" s="14" t="str">
        <f t="shared" si="0"/>
        <v>nie</v>
      </c>
    </row>
    <row r="13" spans="1:7" x14ac:dyDescent="0.25">
      <c r="A13" t="s">
        <v>35</v>
      </c>
      <c r="B13">
        <v>1524</v>
      </c>
      <c r="C13">
        <v>1524</v>
      </c>
      <c r="D13">
        <v>1594</v>
      </c>
      <c r="E13">
        <v>1524</v>
      </c>
      <c r="F13">
        <v>1524</v>
      </c>
      <c r="G13" s="14" t="str">
        <f t="shared" si="0"/>
        <v>nie</v>
      </c>
    </row>
    <row r="14" spans="1:7" x14ac:dyDescent="0.25">
      <c r="A14" t="s">
        <v>36</v>
      </c>
      <c r="B14">
        <v>3029</v>
      </c>
      <c r="C14">
        <v>3029</v>
      </c>
      <c r="D14">
        <v>3029</v>
      </c>
      <c r="E14">
        <v>3029</v>
      </c>
      <c r="F14">
        <v>3029</v>
      </c>
      <c r="G14" s="14" t="str">
        <f t="shared" si="0"/>
        <v>tak</v>
      </c>
    </row>
    <row r="15" spans="1:7" x14ac:dyDescent="0.25">
      <c r="A15" t="s">
        <v>37</v>
      </c>
      <c r="B15">
        <v>3780</v>
      </c>
      <c r="C15">
        <v>3780</v>
      </c>
      <c r="D15">
        <v>3780</v>
      </c>
      <c r="E15">
        <v>3780</v>
      </c>
      <c r="F15">
        <v>3780</v>
      </c>
      <c r="G15" s="14" t="str">
        <f t="shared" si="0"/>
        <v>tak</v>
      </c>
    </row>
    <row r="16" spans="1:7" x14ac:dyDescent="0.25">
      <c r="A16" t="s">
        <v>38</v>
      </c>
      <c r="B16">
        <v>550</v>
      </c>
      <c r="C16">
        <v>550</v>
      </c>
      <c r="D16">
        <v>550</v>
      </c>
      <c r="E16">
        <v>550</v>
      </c>
      <c r="F16">
        <v>550</v>
      </c>
      <c r="G16" s="14" t="str">
        <f t="shared" si="0"/>
        <v>tak</v>
      </c>
    </row>
    <row r="17" spans="1:7" x14ac:dyDescent="0.25">
      <c r="A17" t="s">
        <v>39</v>
      </c>
      <c r="B17">
        <v>3004</v>
      </c>
      <c r="C17">
        <v>3004</v>
      </c>
      <c r="D17">
        <v>3004</v>
      </c>
      <c r="E17">
        <v>3004</v>
      </c>
      <c r="F17">
        <v>3004</v>
      </c>
      <c r="G17" s="14" t="str">
        <f t="shared" si="0"/>
        <v>tak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2894-7FE0-4F36-8AA4-5F21DB06E96F}">
  <dimension ref="B2:O15"/>
  <sheetViews>
    <sheetView workbookViewId="0">
      <selection activeCell="F31" sqref="F31"/>
    </sheetView>
  </sheetViews>
  <sheetFormatPr defaultRowHeight="15" x14ac:dyDescent="0.25"/>
  <cols>
    <col min="2" max="2" width="32" customWidth="1"/>
    <col min="3" max="3" width="13.85546875" customWidth="1"/>
    <col min="4" max="4" width="14.42578125" customWidth="1"/>
    <col min="5" max="5" width="13.140625" customWidth="1"/>
    <col min="8" max="9" width="11.7109375" customWidth="1"/>
    <col min="10" max="10" width="10.140625" customWidth="1"/>
  </cols>
  <sheetData>
    <row r="2" spans="2:15" x14ac:dyDescent="0.25">
      <c r="C2" t="s">
        <v>41</v>
      </c>
      <c r="D2" t="s">
        <v>42</v>
      </c>
      <c r="E2" t="s">
        <v>43</v>
      </c>
      <c r="H2" t="s">
        <v>44</v>
      </c>
    </row>
    <row r="3" spans="2:15" x14ac:dyDescent="0.25">
      <c r="B3" t="s">
        <v>45</v>
      </c>
      <c r="C3" s="15" t="str">
        <f>H3</f>
        <v>Jan</v>
      </c>
      <c r="D3" s="15" t="str">
        <f>IF(J3="","",I3)</f>
        <v>Sebastian</v>
      </c>
      <c r="E3" s="15" t="str">
        <f>IF(J3="",I3,J3)</f>
        <v>Abacki</v>
      </c>
      <c r="H3" s="16" t="s">
        <v>67</v>
      </c>
      <c r="I3" s="16" t="s">
        <v>112</v>
      </c>
      <c r="J3" s="16" t="s">
        <v>98</v>
      </c>
    </row>
    <row r="4" spans="2:15" x14ac:dyDescent="0.25">
      <c r="B4" t="s">
        <v>46</v>
      </c>
      <c r="C4" s="15" t="str">
        <f t="shared" ref="C4:C8" si="0">H4</f>
        <v>Grzeborz</v>
      </c>
      <c r="D4" s="15" t="str">
        <f t="shared" ref="D4:D8" si="1">IF(J4="","",I4)</f>
        <v/>
      </c>
      <c r="E4" s="15" t="str">
        <f t="shared" ref="E4:E8" si="2">IF(J4="",I4,J4)</f>
        <v>Babacki</v>
      </c>
      <c r="H4" s="16" t="s">
        <v>113</v>
      </c>
      <c r="I4" s="16" t="s">
        <v>114</v>
      </c>
      <c r="J4" s="16"/>
    </row>
    <row r="5" spans="2:15" x14ac:dyDescent="0.25">
      <c r="B5" t="s">
        <v>47</v>
      </c>
      <c r="C5" s="15" t="str">
        <f t="shared" si="0"/>
        <v>Tomasz</v>
      </c>
      <c r="D5" s="15" t="str">
        <f t="shared" si="1"/>
        <v/>
      </c>
      <c r="E5" s="15" t="str">
        <f t="shared" si="2"/>
        <v>Cabacki</v>
      </c>
      <c r="H5" s="16" t="s">
        <v>115</v>
      </c>
      <c r="I5" s="16" t="s">
        <v>116</v>
      </c>
      <c r="J5" s="16"/>
    </row>
    <row r="6" spans="2:15" x14ac:dyDescent="0.25">
      <c r="B6" t="s">
        <v>48</v>
      </c>
      <c r="C6" s="15" t="str">
        <f t="shared" si="0"/>
        <v>Krzysztof</v>
      </c>
      <c r="D6" s="15" t="str">
        <f t="shared" si="1"/>
        <v>Mikołaj</v>
      </c>
      <c r="E6" s="15" t="str">
        <f t="shared" si="2"/>
        <v>Dabacki</v>
      </c>
      <c r="H6" s="16" t="s">
        <v>117</v>
      </c>
      <c r="I6" s="16" t="s">
        <v>118</v>
      </c>
      <c r="J6" s="16" t="s">
        <v>119</v>
      </c>
    </row>
    <row r="7" spans="2:15" x14ac:dyDescent="0.25">
      <c r="B7" t="s">
        <v>49</v>
      </c>
      <c r="C7" s="15" t="str">
        <f t="shared" si="0"/>
        <v>Wojciech</v>
      </c>
      <c r="D7" s="15" t="str">
        <f t="shared" si="1"/>
        <v>Karol</v>
      </c>
      <c r="E7" s="15" t="str">
        <f t="shared" si="2"/>
        <v>Ebacki</v>
      </c>
      <c r="H7" s="16" t="s">
        <v>120</v>
      </c>
      <c r="I7" s="16" t="s">
        <v>121</v>
      </c>
      <c r="J7" s="16" t="s">
        <v>122</v>
      </c>
    </row>
    <row r="8" spans="2:15" x14ac:dyDescent="0.25">
      <c r="B8" t="s">
        <v>50</v>
      </c>
      <c r="C8" s="15" t="str">
        <f t="shared" si="0"/>
        <v>Zenon</v>
      </c>
      <c r="D8" s="15" t="str">
        <f t="shared" si="1"/>
        <v/>
      </c>
      <c r="E8" s="15" t="str">
        <f t="shared" si="2"/>
        <v>Fabacki</v>
      </c>
      <c r="H8" s="16" t="s">
        <v>123</v>
      </c>
      <c r="I8" s="16" t="s">
        <v>124</v>
      </c>
      <c r="J8" s="16"/>
    </row>
    <row r="10" spans="2:15" x14ac:dyDescent="0.25">
      <c r="M10" t="s">
        <v>67</v>
      </c>
      <c r="N10" t="s">
        <v>112</v>
      </c>
      <c r="O10" t="s">
        <v>98</v>
      </c>
    </row>
    <row r="11" spans="2:15" x14ac:dyDescent="0.25">
      <c r="M11" t="s">
        <v>113</v>
      </c>
      <c r="N11" t="s">
        <v>114</v>
      </c>
    </row>
    <row r="12" spans="2:15" x14ac:dyDescent="0.25">
      <c r="M12" t="s">
        <v>115</v>
      </c>
      <c r="N12" t="s">
        <v>116</v>
      </c>
    </row>
    <row r="13" spans="2:15" x14ac:dyDescent="0.25">
      <c r="M13" t="s">
        <v>117</v>
      </c>
      <c r="N13" t="s">
        <v>118</v>
      </c>
      <c r="O13" t="s">
        <v>119</v>
      </c>
    </row>
    <row r="14" spans="2:15" x14ac:dyDescent="0.25">
      <c r="M14" t="s">
        <v>120</v>
      </c>
      <c r="N14" t="s">
        <v>121</v>
      </c>
      <c r="O14" t="s">
        <v>122</v>
      </c>
    </row>
    <row r="15" spans="2:15" x14ac:dyDescent="0.25">
      <c r="M15" t="s">
        <v>123</v>
      </c>
      <c r="N15" t="s">
        <v>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DFE-5F88-4D8B-9CB4-A6251C415BB8}">
  <dimension ref="A1:M14"/>
  <sheetViews>
    <sheetView workbookViewId="0">
      <selection activeCell="H19" sqref="H19"/>
    </sheetView>
  </sheetViews>
  <sheetFormatPr defaultRowHeight="12.75" x14ac:dyDescent="0.2"/>
  <cols>
    <col min="1" max="1" width="5.42578125" style="2" customWidth="1"/>
    <col min="2" max="2" width="10.42578125" style="2" customWidth="1"/>
    <col min="3" max="4" width="9.140625" style="2"/>
    <col min="5" max="6" width="12.140625" style="2" customWidth="1"/>
    <col min="7" max="7" width="5.5703125" style="2" bestFit="1" customWidth="1"/>
    <col min="8" max="8" width="13.7109375" style="2" bestFit="1" customWidth="1"/>
    <col min="9" max="9" width="4.140625" style="2" customWidth="1"/>
    <col min="10" max="11" width="9.140625" style="2"/>
    <col min="12" max="12" width="5.140625" style="2" customWidth="1"/>
    <col min="13" max="256" width="9.140625" style="2"/>
    <col min="257" max="257" width="5.42578125" style="2" customWidth="1"/>
    <col min="258" max="258" width="10.42578125" style="2" customWidth="1"/>
    <col min="259" max="260" width="9.140625" style="2"/>
    <col min="261" max="262" width="12.140625" style="2" customWidth="1"/>
    <col min="263" max="263" width="9.5703125" style="2" customWidth="1"/>
    <col min="264" max="264" width="11.85546875" style="2" customWidth="1"/>
    <col min="265" max="265" width="4.140625" style="2" customWidth="1"/>
    <col min="266" max="267" width="9.140625" style="2"/>
    <col min="268" max="268" width="5.140625" style="2" customWidth="1"/>
    <col min="269" max="512" width="9.140625" style="2"/>
    <col min="513" max="513" width="5.42578125" style="2" customWidth="1"/>
    <col min="514" max="514" width="10.42578125" style="2" customWidth="1"/>
    <col min="515" max="516" width="9.140625" style="2"/>
    <col min="517" max="518" width="12.140625" style="2" customWidth="1"/>
    <col min="519" max="519" width="9.5703125" style="2" customWidth="1"/>
    <col min="520" max="520" width="11.85546875" style="2" customWidth="1"/>
    <col min="521" max="521" width="4.140625" style="2" customWidth="1"/>
    <col min="522" max="523" width="9.140625" style="2"/>
    <col min="524" max="524" width="5.140625" style="2" customWidth="1"/>
    <col min="525" max="768" width="9.140625" style="2"/>
    <col min="769" max="769" width="5.42578125" style="2" customWidth="1"/>
    <col min="770" max="770" width="10.42578125" style="2" customWidth="1"/>
    <col min="771" max="772" width="9.140625" style="2"/>
    <col min="773" max="774" width="12.140625" style="2" customWidth="1"/>
    <col min="775" max="775" width="9.5703125" style="2" customWidth="1"/>
    <col min="776" max="776" width="11.85546875" style="2" customWidth="1"/>
    <col min="777" max="777" width="4.140625" style="2" customWidth="1"/>
    <col min="778" max="779" width="9.140625" style="2"/>
    <col min="780" max="780" width="5.140625" style="2" customWidth="1"/>
    <col min="781" max="1024" width="9.140625" style="2"/>
    <col min="1025" max="1025" width="5.42578125" style="2" customWidth="1"/>
    <col min="1026" max="1026" width="10.42578125" style="2" customWidth="1"/>
    <col min="1027" max="1028" width="9.140625" style="2"/>
    <col min="1029" max="1030" width="12.140625" style="2" customWidth="1"/>
    <col min="1031" max="1031" width="9.5703125" style="2" customWidth="1"/>
    <col min="1032" max="1032" width="11.85546875" style="2" customWidth="1"/>
    <col min="1033" max="1033" width="4.140625" style="2" customWidth="1"/>
    <col min="1034" max="1035" width="9.140625" style="2"/>
    <col min="1036" max="1036" width="5.140625" style="2" customWidth="1"/>
    <col min="1037" max="1280" width="9.140625" style="2"/>
    <col min="1281" max="1281" width="5.42578125" style="2" customWidth="1"/>
    <col min="1282" max="1282" width="10.42578125" style="2" customWidth="1"/>
    <col min="1283" max="1284" width="9.140625" style="2"/>
    <col min="1285" max="1286" width="12.140625" style="2" customWidth="1"/>
    <col min="1287" max="1287" width="9.5703125" style="2" customWidth="1"/>
    <col min="1288" max="1288" width="11.85546875" style="2" customWidth="1"/>
    <col min="1289" max="1289" width="4.140625" style="2" customWidth="1"/>
    <col min="1290" max="1291" width="9.140625" style="2"/>
    <col min="1292" max="1292" width="5.140625" style="2" customWidth="1"/>
    <col min="1293" max="1536" width="9.140625" style="2"/>
    <col min="1537" max="1537" width="5.42578125" style="2" customWidth="1"/>
    <col min="1538" max="1538" width="10.42578125" style="2" customWidth="1"/>
    <col min="1539" max="1540" width="9.140625" style="2"/>
    <col min="1541" max="1542" width="12.140625" style="2" customWidth="1"/>
    <col min="1543" max="1543" width="9.5703125" style="2" customWidth="1"/>
    <col min="1544" max="1544" width="11.85546875" style="2" customWidth="1"/>
    <col min="1545" max="1545" width="4.140625" style="2" customWidth="1"/>
    <col min="1546" max="1547" width="9.140625" style="2"/>
    <col min="1548" max="1548" width="5.140625" style="2" customWidth="1"/>
    <col min="1549" max="1792" width="9.140625" style="2"/>
    <col min="1793" max="1793" width="5.42578125" style="2" customWidth="1"/>
    <col min="1794" max="1794" width="10.42578125" style="2" customWidth="1"/>
    <col min="1795" max="1796" width="9.140625" style="2"/>
    <col min="1797" max="1798" width="12.140625" style="2" customWidth="1"/>
    <col min="1799" max="1799" width="9.5703125" style="2" customWidth="1"/>
    <col min="1800" max="1800" width="11.85546875" style="2" customWidth="1"/>
    <col min="1801" max="1801" width="4.140625" style="2" customWidth="1"/>
    <col min="1802" max="1803" width="9.140625" style="2"/>
    <col min="1804" max="1804" width="5.140625" style="2" customWidth="1"/>
    <col min="1805" max="2048" width="9.140625" style="2"/>
    <col min="2049" max="2049" width="5.42578125" style="2" customWidth="1"/>
    <col min="2050" max="2050" width="10.42578125" style="2" customWidth="1"/>
    <col min="2051" max="2052" width="9.140625" style="2"/>
    <col min="2053" max="2054" width="12.140625" style="2" customWidth="1"/>
    <col min="2055" max="2055" width="9.5703125" style="2" customWidth="1"/>
    <col min="2056" max="2056" width="11.85546875" style="2" customWidth="1"/>
    <col min="2057" max="2057" width="4.140625" style="2" customWidth="1"/>
    <col min="2058" max="2059" width="9.140625" style="2"/>
    <col min="2060" max="2060" width="5.140625" style="2" customWidth="1"/>
    <col min="2061" max="2304" width="9.140625" style="2"/>
    <col min="2305" max="2305" width="5.42578125" style="2" customWidth="1"/>
    <col min="2306" max="2306" width="10.42578125" style="2" customWidth="1"/>
    <col min="2307" max="2308" width="9.140625" style="2"/>
    <col min="2309" max="2310" width="12.140625" style="2" customWidth="1"/>
    <col min="2311" max="2311" width="9.5703125" style="2" customWidth="1"/>
    <col min="2312" max="2312" width="11.85546875" style="2" customWidth="1"/>
    <col min="2313" max="2313" width="4.140625" style="2" customWidth="1"/>
    <col min="2314" max="2315" width="9.140625" style="2"/>
    <col min="2316" max="2316" width="5.140625" style="2" customWidth="1"/>
    <col min="2317" max="2560" width="9.140625" style="2"/>
    <col min="2561" max="2561" width="5.42578125" style="2" customWidth="1"/>
    <col min="2562" max="2562" width="10.42578125" style="2" customWidth="1"/>
    <col min="2563" max="2564" width="9.140625" style="2"/>
    <col min="2565" max="2566" width="12.140625" style="2" customWidth="1"/>
    <col min="2567" max="2567" width="9.5703125" style="2" customWidth="1"/>
    <col min="2568" max="2568" width="11.85546875" style="2" customWidth="1"/>
    <col min="2569" max="2569" width="4.140625" style="2" customWidth="1"/>
    <col min="2570" max="2571" width="9.140625" style="2"/>
    <col min="2572" max="2572" width="5.140625" style="2" customWidth="1"/>
    <col min="2573" max="2816" width="9.140625" style="2"/>
    <col min="2817" max="2817" width="5.42578125" style="2" customWidth="1"/>
    <col min="2818" max="2818" width="10.42578125" style="2" customWidth="1"/>
    <col min="2819" max="2820" width="9.140625" style="2"/>
    <col min="2821" max="2822" width="12.140625" style="2" customWidth="1"/>
    <col min="2823" max="2823" width="9.5703125" style="2" customWidth="1"/>
    <col min="2824" max="2824" width="11.85546875" style="2" customWidth="1"/>
    <col min="2825" max="2825" width="4.140625" style="2" customWidth="1"/>
    <col min="2826" max="2827" width="9.140625" style="2"/>
    <col min="2828" max="2828" width="5.140625" style="2" customWidth="1"/>
    <col min="2829" max="3072" width="9.140625" style="2"/>
    <col min="3073" max="3073" width="5.42578125" style="2" customWidth="1"/>
    <col min="3074" max="3074" width="10.42578125" style="2" customWidth="1"/>
    <col min="3075" max="3076" width="9.140625" style="2"/>
    <col min="3077" max="3078" width="12.140625" style="2" customWidth="1"/>
    <col min="3079" max="3079" width="9.5703125" style="2" customWidth="1"/>
    <col min="3080" max="3080" width="11.85546875" style="2" customWidth="1"/>
    <col min="3081" max="3081" width="4.140625" style="2" customWidth="1"/>
    <col min="3082" max="3083" width="9.140625" style="2"/>
    <col min="3084" max="3084" width="5.140625" style="2" customWidth="1"/>
    <col min="3085" max="3328" width="9.140625" style="2"/>
    <col min="3329" max="3329" width="5.42578125" style="2" customWidth="1"/>
    <col min="3330" max="3330" width="10.42578125" style="2" customWidth="1"/>
    <col min="3331" max="3332" width="9.140625" style="2"/>
    <col min="3333" max="3334" width="12.140625" style="2" customWidth="1"/>
    <col min="3335" max="3335" width="9.5703125" style="2" customWidth="1"/>
    <col min="3336" max="3336" width="11.85546875" style="2" customWidth="1"/>
    <col min="3337" max="3337" width="4.140625" style="2" customWidth="1"/>
    <col min="3338" max="3339" width="9.140625" style="2"/>
    <col min="3340" max="3340" width="5.140625" style="2" customWidth="1"/>
    <col min="3341" max="3584" width="9.140625" style="2"/>
    <col min="3585" max="3585" width="5.42578125" style="2" customWidth="1"/>
    <col min="3586" max="3586" width="10.42578125" style="2" customWidth="1"/>
    <col min="3587" max="3588" width="9.140625" style="2"/>
    <col min="3589" max="3590" width="12.140625" style="2" customWidth="1"/>
    <col min="3591" max="3591" width="9.5703125" style="2" customWidth="1"/>
    <col min="3592" max="3592" width="11.85546875" style="2" customWidth="1"/>
    <col min="3593" max="3593" width="4.140625" style="2" customWidth="1"/>
    <col min="3594" max="3595" width="9.140625" style="2"/>
    <col min="3596" max="3596" width="5.140625" style="2" customWidth="1"/>
    <col min="3597" max="3840" width="9.140625" style="2"/>
    <col min="3841" max="3841" width="5.42578125" style="2" customWidth="1"/>
    <col min="3842" max="3842" width="10.42578125" style="2" customWidth="1"/>
    <col min="3843" max="3844" width="9.140625" style="2"/>
    <col min="3845" max="3846" width="12.140625" style="2" customWidth="1"/>
    <col min="3847" max="3847" width="9.5703125" style="2" customWidth="1"/>
    <col min="3848" max="3848" width="11.85546875" style="2" customWidth="1"/>
    <col min="3849" max="3849" width="4.140625" style="2" customWidth="1"/>
    <col min="3850" max="3851" width="9.140625" style="2"/>
    <col min="3852" max="3852" width="5.140625" style="2" customWidth="1"/>
    <col min="3853" max="4096" width="9.140625" style="2"/>
    <col min="4097" max="4097" width="5.42578125" style="2" customWidth="1"/>
    <col min="4098" max="4098" width="10.42578125" style="2" customWidth="1"/>
    <col min="4099" max="4100" width="9.140625" style="2"/>
    <col min="4101" max="4102" width="12.140625" style="2" customWidth="1"/>
    <col min="4103" max="4103" width="9.5703125" style="2" customWidth="1"/>
    <col min="4104" max="4104" width="11.85546875" style="2" customWidth="1"/>
    <col min="4105" max="4105" width="4.140625" style="2" customWidth="1"/>
    <col min="4106" max="4107" width="9.140625" style="2"/>
    <col min="4108" max="4108" width="5.140625" style="2" customWidth="1"/>
    <col min="4109" max="4352" width="9.140625" style="2"/>
    <col min="4353" max="4353" width="5.42578125" style="2" customWidth="1"/>
    <col min="4354" max="4354" width="10.42578125" style="2" customWidth="1"/>
    <col min="4355" max="4356" width="9.140625" style="2"/>
    <col min="4357" max="4358" width="12.140625" style="2" customWidth="1"/>
    <col min="4359" max="4359" width="9.5703125" style="2" customWidth="1"/>
    <col min="4360" max="4360" width="11.85546875" style="2" customWidth="1"/>
    <col min="4361" max="4361" width="4.140625" style="2" customWidth="1"/>
    <col min="4362" max="4363" width="9.140625" style="2"/>
    <col min="4364" max="4364" width="5.140625" style="2" customWidth="1"/>
    <col min="4365" max="4608" width="9.140625" style="2"/>
    <col min="4609" max="4609" width="5.42578125" style="2" customWidth="1"/>
    <col min="4610" max="4610" width="10.42578125" style="2" customWidth="1"/>
    <col min="4611" max="4612" width="9.140625" style="2"/>
    <col min="4613" max="4614" width="12.140625" style="2" customWidth="1"/>
    <col min="4615" max="4615" width="9.5703125" style="2" customWidth="1"/>
    <col min="4616" max="4616" width="11.85546875" style="2" customWidth="1"/>
    <col min="4617" max="4617" width="4.140625" style="2" customWidth="1"/>
    <col min="4618" max="4619" width="9.140625" style="2"/>
    <col min="4620" max="4620" width="5.140625" style="2" customWidth="1"/>
    <col min="4621" max="4864" width="9.140625" style="2"/>
    <col min="4865" max="4865" width="5.42578125" style="2" customWidth="1"/>
    <col min="4866" max="4866" width="10.42578125" style="2" customWidth="1"/>
    <col min="4867" max="4868" width="9.140625" style="2"/>
    <col min="4869" max="4870" width="12.140625" style="2" customWidth="1"/>
    <col min="4871" max="4871" width="9.5703125" style="2" customWidth="1"/>
    <col min="4872" max="4872" width="11.85546875" style="2" customWidth="1"/>
    <col min="4873" max="4873" width="4.140625" style="2" customWidth="1"/>
    <col min="4874" max="4875" width="9.140625" style="2"/>
    <col min="4876" max="4876" width="5.140625" style="2" customWidth="1"/>
    <col min="4877" max="5120" width="9.140625" style="2"/>
    <col min="5121" max="5121" width="5.42578125" style="2" customWidth="1"/>
    <col min="5122" max="5122" width="10.42578125" style="2" customWidth="1"/>
    <col min="5123" max="5124" width="9.140625" style="2"/>
    <col min="5125" max="5126" width="12.140625" style="2" customWidth="1"/>
    <col min="5127" max="5127" width="9.5703125" style="2" customWidth="1"/>
    <col min="5128" max="5128" width="11.85546875" style="2" customWidth="1"/>
    <col min="5129" max="5129" width="4.140625" style="2" customWidth="1"/>
    <col min="5130" max="5131" width="9.140625" style="2"/>
    <col min="5132" max="5132" width="5.140625" style="2" customWidth="1"/>
    <col min="5133" max="5376" width="9.140625" style="2"/>
    <col min="5377" max="5377" width="5.42578125" style="2" customWidth="1"/>
    <col min="5378" max="5378" width="10.42578125" style="2" customWidth="1"/>
    <col min="5379" max="5380" width="9.140625" style="2"/>
    <col min="5381" max="5382" width="12.140625" style="2" customWidth="1"/>
    <col min="5383" max="5383" width="9.5703125" style="2" customWidth="1"/>
    <col min="5384" max="5384" width="11.85546875" style="2" customWidth="1"/>
    <col min="5385" max="5385" width="4.140625" style="2" customWidth="1"/>
    <col min="5386" max="5387" width="9.140625" style="2"/>
    <col min="5388" max="5388" width="5.140625" style="2" customWidth="1"/>
    <col min="5389" max="5632" width="9.140625" style="2"/>
    <col min="5633" max="5633" width="5.42578125" style="2" customWidth="1"/>
    <col min="5634" max="5634" width="10.42578125" style="2" customWidth="1"/>
    <col min="5635" max="5636" width="9.140625" style="2"/>
    <col min="5637" max="5638" width="12.140625" style="2" customWidth="1"/>
    <col min="5639" max="5639" width="9.5703125" style="2" customWidth="1"/>
    <col min="5640" max="5640" width="11.85546875" style="2" customWidth="1"/>
    <col min="5641" max="5641" width="4.140625" style="2" customWidth="1"/>
    <col min="5642" max="5643" width="9.140625" style="2"/>
    <col min="5644" max="5644" width="5.140625" style="2" customWidth="1"/>
    <col min="5645" max="5888" width="9.140625" style="2"/>
    <col min="5889" max="5889" width="5.42578125" style="2" customWidth="1"/>
    <col min="5890" max="5890" width="10.42578125" style="2" customWidth="1"/>
    <col min="5891" max="5892" width="9.140625" style="2"/>
    <col min="5893" max="5894" width="12.140625" style="2" customWidth="1"/>
    <col min="5895" max="5895" width="9.5703125" style="2" customWidth="1"/>
    <col min="5896" max="5896" width="11.85546875" style="2" customWidth="1"/>
    <col min="5897" max="5897" width="4.140625" style="2" customWidth="1"/>
    <col min="5898" max="5899" width="9.140625" style="2"/>
    <col min="5900" max="5900" width="5.140625" style="2" customWidth="1"/>
    <col min="5901" max="6144" width="9.140625" style="2"/>
    <col min="6145" max="6145" width="5.42578125" style="2" customWidth="1"/>
    <col min="6146" max="6146" width="10.42578125" style="2" customWidth="1"/>
    <col min="6147" max="6148" width="9.140625" style="2"/>
    <col min="6149" max="6150" width="12.140625" style="2" customWidth="1"/>
    <col min="6151" max="6151" width="9.5703125" style="2" customWidth="1"/>
    <col min="6152" max="6152" width="11.85546875" style="2" customWidth="1"/>
    <col min="6153" max="6153" width="4.140625" style="2" customWidth="1"/>
    <col min="6154" max="6155" width="9.140625" style="2"/>
    <col min="6156" max="6156" width="5.140625" style="2" customWidth="1"/>
    <col min="6157" max="6400" width="9.140625" style="2"/>
    <col min="6401" max="6401" width="5.42578125" style="2" customWidth="1"/>
    <col min="6402" max="6402" width="10.42578125" style="2" customWidth="1"/>
    <col min="6403" max="6404" width="9.140625" style="2"/>
    <col min="6405" max="6406" width="12.140625" style="2" customWidth="1"/>
    <col min="6407" max="6407" width="9.5703125" style="2" customWidth="1"/>
    <col min="6408" max="6408" width="11.85546875" style="2" customWidth="1"/>
    <col min="6409" max="6409" width="4.140625" style="2" customWidth="1"/>
    <col min="6410" max="6411" width="9.140625" style="2"/>
    <col min="6412" max="6412" width="5.140625" style="2" customWidth="1"/>
    <col min="6413" max="6656" width="9.140625" style="2"/>
    <col min="6657" max="6657" width="5.42578125" style="2" customWidth="1"/>
    <col min="6658" max="6658" width="10.42578125" style="2" customWidth="1"/>
    <col min="6659" max="6660" width="9.140625" style="2"/>
    <col min="6661" max="6662" width="12.140625" style="2" customWidth="1"/>
    <col min="6663" max="6663" width="9.5703125" style="2" customWidth="1"/>
    <col min="6664" max="6664" width="11.85546875" style="2" customWidth="1"/>
    <col min="6665" max="6665" width="4.140625" style="2" customWidth="1"/>
    <col min="6666" max="6667" width="9.140625" style="2"/>
    <col min="6668" max="6668" width="5.140625" style="2" customWidth="1"/>
    <col min="6669" max="6912" width="9.140625" style="2"/>
    <col min="6913" max="6913" width="5.42578125" style="2" customWidth="1"/>
    <col min="6914" max="6914" width="10.42578125" style="2" customWidth="1"/>
    <col min="6915" max="6916" width="9.140625" style="2"/>
    <col min="6917" max="6918" width="12.140625" style="2" customWidth="1"/>
    <col min="6919" max="6919" width="9.5703125" style="2" customWidth="1"/>
    <col min="6920" max="6920" width="11.85546875" style="2" customWidth="1"/>
    <col min="6921" max="6921" width="4.140625" style="2" customWidth="1"/>
    <col min="6922" max="6923" width="9.140625" style="2"/>
    <col min="6924" max="6924" width="5.140625" style="2" customWidth="1"/>
    <col min="6925" max="7168" width="9.140625" style="2"/>
    <col min="7169" max="7169" width="5.42578125" style="2" customWidth="1"/>
    <col min="7170" max="7170" width="10.42578125" style="2" customWidth="1"/>
    <col min="7171" max="7172" width="9.140625" style="2"/>
    <col min="7173" max="7174" width="12.140625" style="2" customWidth="1"/>
    <col min="7175" max="7175" width="9.5703125" style="2" customWidth="1"/>
    <col min="7176" max="7176" width="11.85546875" style="2" customWidth="1"/>
    <col min="7177" max="7177" width="4.140625" style="2" customWidth="1"/>
    <col min="7178" max="7179" width="9.140625" style="2"/>
    <col min="7180" max="7180" width="5.140625" style="2" customWidth="1"/>
    <col min="7181" max="7424" width="9.140625" style="2"/>
    <col min="7425" max="7425" width="5.42578125" style="2" customWidth="1"/>
    <col min="7426" max="7426" width="10.42578125" style="2" customWidth="1"/>
    <col min="7427" max="7428" width="9.140625" style="2"/>
    <col min="7429" max="7430" width="12.140625" style="2" customWidth="1"/>
    <col min="7431" max="7431" width="9.5703125" style="2" customWidth="1"/>
    <col min="7432" max="7432" width="11.85546875" style="2" customWidth="1"/>
    <col min="7433" max="7433" width="4.140625" style="2" customWidth="1"/>
    <col min="7434" max="7435" width="9.140625" style="2"/>
    <col min="7436" max="7436" width="5.140625" style="2" customWidth="1"/>
    <col min="7437" max="7680" width="9.140625" style="2"/>
    <col min="7681" max="7681" width="5.42578125" style="2" customWidth="1"/>
    <col min="7682" max="7682" width="10.42578125" style="2" customWidth="1"/>
    <col min="7683" max="7684" width="9.140625" style="2"/>
    <col min="7685" max="7686" width="12.140625" style="2" customWidth="1"/>
    <col min="7687" max="7687" width="9.5703125" style="2" customWidth="1"/>
    <col min="7688" max="7688" width="11.85546875" style="2" customWidth="1"/>
    <col min="7689" max="7689" width="4.140625" style="2" customWidth="1"/>
    <col min="7690" max="7691" width="9.140625" style="2"/>
    <col min="7692" max="7692" width="5.140625" style="2" customWidth="1"/>
    <col min="7693" max="7936" width="9.140625" style="2"/>
    <col min="7937" max="7937" width="5.42578125" style="2" customWidth="1"/>
    <col min="7938" max="7938" width="10.42578125" style="2" customWidth="1"/>
    <col min="7939" max="7940" width="9.140625" style="2"/>
    <col min="7941" max="7942" width="12.140625" style="2" customWidth="1"/>
    <col min="7943" max="7943" width="9.5703125" style="2" customWidth="1"/>
    <col min="7944" max="7944" width="11.85546875" style="2" customWidth="1"/>
    <col min="7945" max="7945" width="4.140625" style="2" customWidth="1"/>
    <col min="7946" max="7947" width="9.140625" style="2"/>
    <col min="7948" max="7948" width="5.140625" style="2" customWidth="1"/>
    <col min="7949" max="8192" width="9.140625" style="2"/>
    <col min="8193" max="8193" width="5.42578125" style="2" customWidth="1"/>
    <col min="8194" max="8194" width="10.42578125" style="2" customWidth="1"/>
    <col min="8195" max="8196" width="9.140625" style="2"/>
    <col min="8197" max="8198" width="12.140625" style="2" customWidth="1"/>
    <col min="8199" max="8199" width="9.5703125" style="2" customWidth="1"/>
    <col min="8200" max="8200" width="11.85546875" style="2" customWidth="1"/>
    <col min="8201" max="8201" width="4.140625" style="2" customWidth="1"/>
    <col min="8202" max="8203" width="9.140625" style="2"/>
    <col min="8204" max="8204" width="5.140625" style="2" customWidth="1"/>
    <col min="8205" max="8448" width="9.140625" style="2"/>
    <col min="8449" max="8449" width="5.42578125" style="2" customWidth="1"/>
    <col min="8450" max="8450" width="10.42578125" style="2" customWidth="1"/>
    <col min="8451" max="8452" width="9.140625" style="2"/>
    <col min="8453" max="8454" width="12.140625" style="2" customWidth="1"/>
    <col min="8455" max="8455" width="9.5703125" style="2" customWidth="1"/>
    <col min="8456" max="8456" width="11.85546875" style="2" customWidth="1"/>
    <col min="8457" max="8457" width="4.140625" style="2" customWidth="1"/>
    <col min="8458" max="8459" width="9.140625" style="2"/>
    <col min="8460" max="8460" width="5.140625" style="2" customWidth="1"/>
    <col min="8461" max="8704" width="9.140625" style="2"/>
    <col min="8705" max="8705" width="5.42578125" style="2" customWidth="1"/>
    <col min="8706" max="8706" width="10.42578125" style="2" customWidth="1"/>
    <col min="8707" max="8708" width="9.140625" style="2"/>
    <col min="8709" max="8710" width="12.140625" style="2" customWidth="1"/>
    <col min="8711" max="8711" width="9.5703125" style="2" customWidth="1"/>
    <col min="8712" max="8712" width="11.85546875" style="2" customWidth="1"/>
    <col min="8713" max="8713" width="4.140625" style="2" customWidth="1"/>
    <col min="8714" max="8715" width="9.140625" style="2"/>
    <col min="8716" max="8716" width="5.140625" style="2" customWidth="1"/>
    <col min="8717" max="8960" width="9.140625" style="2"/>
    <col min="8961" max="8961" width="5.42578125" style="2" customWidth="1"/>
    <col min="8962" max="8962" width="10.42578125" style="2" customWidth="1"/>
    <col min="8963" max="8964" width="9.140625" style="2"/>
    <col min="8965" max="8966" width="12.140625" style="2" customWidth="1"/>
    <col min="8967" max="8967" width="9.5703125" style="2" customWidth="1"/>
    <col min="8968" max="8968" width="11.85546875" style="2" customWidth="1"/>
    <col min="8969" max="8969" width="4.140625" style="2" customWidth="1"/>
    <col min="8970" max="8971" width="9.140625" style="2"/>
    <col min="8972" max="8972" width="5.140625" style="2" customWidth="1"/>
    <col min="8973" max="9216" width="9.140625" style="2"/>
    <col min="9217" max="9217" width="5.42578125" style="2" customWidth="1"/>
    <col min="9218" max="9218" width="10.42578125" style="2" customWidth="1"/>
    <col min="9219" max="9220" width="9.140625" style="2"/>
    <col min="9221" max="9222" width="12.140625" style="2" customWidth="1"/>
    <col min="9223" max="9223" width="9.5703125" style="2" customWidth="1"/>
    <col min="9224" max="9224" width="11.85546875" style="2" customWidth="1"/>
    <col min="9225" max="9225" width="4.140625" style="2" customWidth="1"/>
    <col min="9226" max="9227" width="9.140625" style="2"/>
    <col min="9228" max="9228" width="5.140625" style="2" customWidth="1"/>
    <col min="9229" max="9472" width="9.140625" style="2"/>
    <col min="9473" max="9473" width="5.42578125" style="2" customWidth="1"/>
    <col min="9474" max="9474" width="10.42578125" style="2" customWidth="1"/>
    <col min="9475" max="9476" width="9.140625" style="2"/>
    <col min="9477" max="9478" width="12.140625" style="2" customWidth="1"/>
    <col min="9479" max="9479" width="9.5703125" style="2" customWidth="1"/>
    <col min="9480" max="9480" width="11.85546875" style="2" customWidth="1"/>
    <col min="9481" max="9481" width="4.140625" style="2" customWidth="1"/>
    <col min="9482" max="9483" width="9.140625" style="2"/>
    <col min="9484" max="9484" width="5.140625" style="2" customWidth="1"/>
    <col min="9485" max="9728" width="9.140625" style="2"/>
    <col min="9729" max="9729" width="5.42578125" style="2" customWidth="1"/>
    <col min="9730" max="9730" width="10.42578125" style="2" customWidth="1"/>
    <col min="9731" max="9732" width="9.140625" style="2"/>
    <col min="9733" max="9734" width="12.140625" style="2" customWidth="1"/>
    <col min="9735" max="9735" width="9.5703125" style="2" customWidth="1"/>
    <col min="9736" max="9736" width="11.85546875" style="2" customWidth="1"/>
    <col min="9737" max="9737" width="4.140625" style="2" customWidth="1"/>
    <col min="9738" max="9739" width="9.140625" style="2"/>
    <col min="9740" max="9740" width="5.140625" style="2" customWidth="1"/>
    <col min="9741" max="9984" width="9.140625" style="2"/>
    <col min="9985" max="9985" width="5.42578125" style="2" customWidth="1"/>
    <col min="9986" max="9986" width="10.42578125" style="2" customWidth="1"/>
    <col min="9987" max="9988" width="9.140625" style="2"/>
    <col min="9989" max="9990" width="12.140625" style="2" customWidth="1"/>
    <col min="9991" max="9991" width="9.5703125" style="2" customWidth="1"/>
    <col min="9992" max="9992" width="11.85546875" style="2" customWidth="1"/>
    <col min="9993" max="9993" width="4.140625" style="2" customWidth="1"/>
    <col min="9994" max="9995" width="9.140625" style="2"/>
    <col min="9996" max="9996" width="5.140625" style="2" customWidth="1"/>
    <col min="9997" max="10240" width="9.140625" style="2"/>
    <col min="10241" max="10241" width="5.42578125" style="2" customWidth="1"/>
    <col min="10242" max="10242" width="10.42578125" style="2" customWidth="1"/>
    <col min="10243" max="10244" width="9.140625" style="2"/>
    <col min="10245" max="10246" width="12.140625" style="2" customWidth="1"/>
    <col min="10247" max="10247" width="9.5703125" style="2" customWidth="1"/>
    <col min="10248" max="10248" width="11.85546875" style="2" customWidth="1"/>
    <col min="10249" max="10249" width="4.140625" style="2" customWidth="1"/>
    <col min="10250" max="10251" width="9.140625" style="2"/>
    <col min="10252" max="10252" width="5.140625" style="2" customWidth="1"/>
    <col min="10253" max="10496" width="9.140625" style="2"/>
    <col min="10497" max="10497" width="5.42578125" style="2" customWidth="1"/>
    <col min="10498" max="10498" width="10.42578125" style="2" customWidth="1"/>
    <col min="10499" max="10500" width="9.140625" style="2"/>
    <col min="10501" max="10502" width="12.140625" style="2" customWidth="1"/>
    <col min="10503" max="10503" width="9.5703125" style="2" customWidth="1"/>
    <col min="10504" max="10504" width="11.85546875" style="2" customWidth="1"/>
    <col min="10505" max="10505" width="4.140625" style="2" customWidth="1"/>
    <col min="10506" max="10507" width="9.140625" style="2"/>
    <col min="10508" max="10508" width="5.140625" style="2" customWidth="1"/>
    <col min="10509" max="10752" width="9.140625" style="2"/>
    <col min="10753" max="10753" width="5.42578125" style="2" customWidth="1"/>
    <col min="10754" max="10754" width="10.42578125" style="2" customWidth="1"/>
    <col min="10755" max="10756" width="9.140625" style="2"/>
    <col min="10757" max="10758" width="12.140625" style="2" customWidth="1"/>
    <col min="10759" max="10759" width="9.5703125" style="2" customWidth="1"/>
    <col min="10760" max="10760" width="11.85546875" style="2" customWidth="1"/>
    <col min="10761" max="10761" width="4.140625" style="2" customWidth="1"/>
    <col min="10762" max="10763" width="9.140625" style="2"/>
    <col min="10764" max="10764" width="5.140625" style="2" customWidth="1"/>
    <col min="10765" max="11008" width="9.140625" style="2"/>
    <col min="11009" max="11009" width="5.42578125" style="2" customWidth="1"/>
    <col min="11010" max="11010" width="10.42578125" style="2" customWidth="1"/>
    <col min="11011" max="11012" width="9.140625" style="2"/>
    <col min="11013" max="11014" width="12.140625" style="2" customWidth="1"/>
    <col min="11015" max="11015" width="9.5703125" style="2" customWidth="1"/>
    <col min="11016" max="11016" width="11.85546875" style="2" customWidth="1"/>
    <col min="11017" max="11017" width="4.140625" style="2" customWidth="1"/>
    <col min="11018" max="11019" width="9.140625" style="2"/>
    <col min="11020" max="11020" width="5.140625" style="2" customWidth="1"/>
    <col min="11021" max="11264" width="9.140625" style="2"/>
    <col min="11265" max="11265" width="5.42578125" style="2" customWidth="1"/>
    <col min="11266" max="11266" width="10.42578125" style="2" customWidth="1"/>
    <col min="11267" max="11268" width="9.140625" style="2"/>
    <col min="11269" max="11270" width="12.140625" style="2" customWidth="1"/>
    <col min="11271" max="11271" width="9.5703125" style="2" customWidth="1"/>
    <col min="11272" max="11272" width="11.85546875" style="2" customWidth="1"/>
    <col min="11273" max="11273" width="4.140625" style="2" customWidth="1"/>
    <col min="11274" max="11275" width="9.140625" style="2"/>
    <col min="11276" max="11276" width="5.140625" style="2" customWidth="1"/>
    <col min="11277" max="11520" width="9.140625" style="2"/>
    <col min="11521" max="11521" width="5.42578125" style="2" customWidth="1"/>
    <col min="11522" max="11522" width="10.42578125" style="2" customWidth="1"/>
    <col min="11523" max="11524" width="9.140625" style="2"/>
    <col min="11525" max="11526" width="12.140625" style="2" customWidth="1"/>
    <col min="11527" max="11527" width="9.5703125" style="2" customWidth="1"/>
    <col min="11528" max="11528" width="11.85546875" style="2" customWidth="1"/>
    <col min="11529" max="11529" width="4.140625" style="2" customWidth="1"/>
    <col min="11530" max="11531" width="9.140625" style="2"/>
    <col min="11532" max="11532" width="5.140625" style="2" customWidth="1"/>
    <col min="11533" max="11776" width="9.140625" style="2"/>
    <col min="11777" max="11777" width="5.42578125" style="2" customWidth="1"/>
    <col min="11778" max="11778" width="10.42578125" style="2" customWidth="1"/>
    <col min="11779" max="11780" width="9.140625" style="2"/>
    <col min="11781" max="11782" width="12.140625" style="2" customWidth="1"/>
    <col min="11783" max="11783" width="9.5703125" style="2" customWidth="1"/>
    <col min="11784" max="11784" width="11.85546875" style="2" customWidth="1"/>
    <col min="11785" max="11785" width="4.140625" style="2" customWidth="1"/>
    <col min="11786" max="11787" width="9.140625" style="2"/>
    <col min="11788" max="11788" width="5.140625" style="2" customWidth="1"/>
    <col min="11789" max="12032" width="9.140625" style="2"/>
    <col min="12033" max="12033" width="5.42578125" style="2" customWidth="1"/>
    <col min="12034" max="12034" width="10.42578125" style="2" customWidth="1"/>
    <col min="12035" max="12036" width="9.140625" style="2"/>
    <col min="12037" max="12038" width="12.140625" style="2" customWidth="1"/>
    <col min="12039" max="12039" width="9.5703125" style="2" customWidth="1"/>
    <col min="12040" max="12040" width="11.85546875" style="2" customWidth="1"/>
    <col min="12041" max="12041" width="4.140625" style="2" customWidth="1"/>
    <col min="12042" max="12043" width="9.140625" style="2"/>
    <col min="12044" max="12044" width="5.140625" style="2" customWidth="1"/>
    <col min="12045" max="12288" width="9.140625" style="2"/>
    <col min="12289" max="12289" width="5.42578125" style="2" customWidth="1"/>
    <col min="12290" max="12290" width="10.42578125" style="2" customWidth="1"/>
    <col min="12291" max="12292" width="9.140625" style="2"/>
    <col min="12293" max="12294" width="12.140625" style="2" customWidth="1"/>
    <col min="12295" max="12295" width="9.5703125" style="2" customWidth="1"/>
    <col min="12296" max="12296" width="11.85546875" style="2" customWidth="1"/>
    <col min="12297" max="12297" width="4.140625" style="2" customWidth="1"/>
    <col min="12298" max="12299" width="9.140625" style="2"/>
    <col min="12300" max="12300" width="5.140625" style="2" customWidth="1"/>
    <col min="12301" max="12544" width="9.140625" style="2"/>
    <col min="12545" max="12545" width="5.42578125" style="2" customWidth="1"/>
    <col min="12546" max="12546" width="10.42578125" style="2" customWidth="1"/>
    <col min="12547" max="12548" width="9.140625" style="2"/>
    <col min="12549" max="12550" width="12.140625" style="2" customWidth="1"/>
    <col min="12551" max="12551" width="9.5703125" style="2" customWidth="1"/>
    <col min="12552" max="12552" width="11.85546875" style="2" customWidth="1"/>
    <col min="12553" max="12553" width="4.140625" style="2" customWidth="1"/>
    <col min="12554" max="12555" width="9.140625" style="2"/>
    <col min="12556" max="12556" width="5.140625" style="2" customWidth="1"/>
    <col min="12557" max="12800" width="9.140625" style="2"/>
    <col min="12801" max="12801" width="5.42578125" style="2" customWidth="1"/>
    <col min="12802" max="12802" width="10.42578125" style="2" customWidth="1"/>
    <col min="12803" max="12804" width="9.140625" style="2"/>
    <col min="12805" max="12806" width="12.140625" style="2" customWidth="1"/>
    <col min="12807" max="12807" width="9.5703125" style="2" customWidth="1"/>
    <col min="12808" max="12808" width="11.85546875" style="2" customWidth="1"/>
    <col min="12809" max="12809" width="4.140625" style="2" customWidth="1"/>
    <col min="12810" max="12811" width="9.140625" style="2"/>
    <col min="12812" max="12812" width="5.140625" style="2" customWidth="1"/>
    <col min="12813" max="13056" width="9.140625" style="2"/>
    <col min="13057" max="13057" width="5.42578125" style="2" customWidth="1"/>
    <col min="13058" max="13058" width="10.42578125" style="2" customWidth="1"/>
    <col min="13059" max="13060" width="9.140625" style="2"/>
    <col min="13061" max="13062" width="12.140625" style="2" customWidth="1"/>
    <col min="13063" max="13063" width="9.5703125" style="2" customWidth="1"/>
    <col min="13064" max="13064" width="11.85546875" style="2" customWidth="1"/>
    <col min="13065" max="13065" width="4.140625" style="2" customWidth="1"/>
    <col min="13066" max="13067" width="9.140625" style="2"/>
    <col min="13068" max="13068" width="5.140625" style="2" customWidth="1"/>
    <col min="13069" max="13312" width="9.140625" style="2"/>
    <col min="13313" max="13313" width="5.42578125" style="2" customWidth="1"/>
    <col min="13314" max="13314" width="10.42578125" style="2" customWidth="1"/>
    <col min="13315" max="13316" width="9.140625" style="2"/>
    <col min="13317" max="13318" width="12.140625" style="2" customWidth="1"/>
    <col min="13319" max="13319" width="9.5703125" style="2" customWidth="1"/>
    <col min="13320" max="13320" width="11.85546875" style="2" customWidth="1"/>
    <col min="13321" max="13321" width="4.140625" style="2" customWidth="1"/>
    <col min="13322" max="13323" width="9.140625" style="2"/>
    <col min="13324" max="13324" width="5.140625" style="2" customWidth="1"/>
    <col min="13325" max="13568" width="9.140625" style="2"/>
    <col min="13569" max="13569" width="5.42578125" style="2" customWidth="1"/>
    <col min="13570" max="13570" width="10.42578125" style="2" customWidth="1"/>
    <col min="13571" max="13572" width="9.140625" style="2"/>
    <col min="13573" max="13574" width="12.140625" style="2" customWidth="1"/>
    <col min="13575" max="13575" width="9.5703125" style="2" customWidth="1"/>
    <col min="13576" max="13576" width="11.85546875" style="2" customWidth="1"/>
    <col min="13577" max="13577" width="4.140625" style="2" customWidth="1"/>
    <col min="13578" max="13579" width="9.140625" style="2"/>
    <col min="13580" max="13580" width="5.140625" style="2" customWidth="1"/>
    <col min="13581" max="13824" width="9.140625" style="2"/>
    <col min="13825" max="13825" width="5.42578125" style="2" customWidth="1"/>
    <col min="13826" max="13826" width="10.42578125" style="2" customWidth="1"/>
    <col min="13827" max="13828" width="9.140625" style="2"/>
    <col min="13829" max="13830" width="12.140625" style="2" customWidth="1"/>
    <col min="13831" max="13831" width="9.5703125" style="2" customWidth="1"/>
    <col min="13832" max="13832" width="11.85546875" style="2" customWidth="1"/>
    <col min="13833" max="13833" width="4.140625" style="2" customWidth="1"/>
    <col min="13834" max="13835" width="9.140625" style="2"/>
    <col min="13836" max="13836" width="5.140625" style="2" customWidth="1"/>
    <col min="13837" max="14080" width="9.140625" style="2"/>
    <col min="14081" max="14081" width="5.42578125" style="2" customWidth="1"/>
    <col min="14082" max="14082" width="10.42578125" style="2" customWidth="1"/>
    <col min="14083" max="14084" width="9.140625" style="2"/>
    <col min="14085" max="14086" width="12.140625" style="2" customWidth="1"/>
    <col min="14087" max="14087" width="9.5703125" style="2" customWidth="1"/>
    <col min="14088" max="14088" width="11.85546875" style="2" customWidth="1"/>
    <col min="14089" max="14089" width="4.140625" style="2" customWidth="1"/>
    <col min="14090" max="14091" width="9.140625" style="2"/>
    <col min="14092" max="14092" width="5.140625" style="2" customWidth="1"/>
    <col min="14093" max="14336" width="9.140625" style="2"/>
    <col min="14337" max="14337" width="5.42578125" style="2" customWidth="1"/>
    <col min="14338" max="14338" width="10.42578125" style="2" customWidth="1"/>
    <col min="14339" max="14340" width="9.140625" style="2"/>
    <col min="14341" max="14342" width="12.140625" style="2" customWidth="1"/>
    <col min="14343" max="14343" width="9.5703125" style="2" customWidth="1"/>
    <col min="14344" max="14344" width="11.85546875" style="2" customWidth="1"/>
    <col min="14345" max="14345" width="4.140625" style="2" customWidth="1"/>
    <col min="14346" max="14347" width="9.140625" style="2"/>
    <col min="14348" max="14348" width="5.140625" style="2" customWidth="1"/>
    <col min="14349" max="14592" width="9.140625" style="2"/>
    <col min="14593" max="14593" width="5.42578125" style="2" customWidth="1"/>
    <col min="14594" max="14594" width="10.42578125" style="2" customWidth="1"/>
    <col min="14595" max="14596" width="9.140625" style="2"/>
    <col min="14597" max="14598" width="12.140625" style="2" customWidth="1"/>
    <col min="14599" max="14599" width="9.5703125" style="2" customWidth="1"/>
    <col min="14600" max="14600" width="11.85546875" style="2" customWidth="1"/>
    <col min="14601" max="14601" width="4.140625" style="2" customWidth="1"/>
    <col min="14602" max="14603" width="9.140625" style="2"/>
    <col min="14604" max="14604" width="5.140625" style="2" customWidth="1"/>
    <col min="14605" max="14848" width="9.140625" style="2"/>
    <col min="14849" max="14849" width="5.42578125" style="2" customWidth="1"/>
    <col min="14850" max="14850" width="10.42578125" style="2" customWidth="1"/>
    <col min="14851" max="14852" width="9.140625" style="2"/>
    <col min="14853" max="14854" width="12.140625" style="2" customWidth="1"/>
    <col min="14855" max="14855" width="9.5703125" style="2" customWidth="1"/>
    <col min="14856" max="14856" width="11.85546875" style="2" customWidth="1"/>
    <col min="14857" max="14857" width="4.140625" style="2" customWidth="1"/>
    <col min="14858" max="14859" width="9.140625" style="2"/>
    <col min="14860" max="14860" width="5.140625" style="2" customWidth="1"/>
    <col min="14861" max="15104" width="9.140625" style="2"/>
    <col min="15105" max="15105" width="5.42578125" style="2" customWidth="1"/>
    <col min="15106" max="15106" width="10.42578125" style="2" customWidth="1"/>
    <col min="15107" max="15108" width="9.140625" style="2"/>
    <col min="15109" max="15110" width="12.140625" style="2" customWidth="1"/>
    <col min="15111" max="15111" width="9.5703125" style="2" customWidth="1"/>
    <col min="15112" max="15112" width="11.85546875" style="2" customWidth="1"/>
    <col min="15113" max="15113" width="4.140625" style="2" customWidth="1"/>
    <col min="15114" max="15115" width="9.140625" style="2"/>
    <col min="15116" max="15116" width="5.140625" style="2" customWidth="1"/>
    <col min="15117" max="15360" width="9.140625" style="2"/>
    <col min="15361" max="15361" width="5.42578125" style="2" customWidth="1"/>
    <col min="15362" max="15362" width="10.42578125" style="2" customWidth="1"/>
    <col min="15363" max="15364" width="9.140625" style="2"/>
    <col min="15365" max="15366" width="12.140625" style="2" customWidth="1"/>
    <col min="15367" max="15367" width="9.5703125" style="2" customWidth="1"/>
    <col min="15368" max="15368" width="11.85546875" style="2" customWidth="1"/>
    <col min="15369" max="15369" width="4.140625" style="2" customWidth="1"/>
    <col min="15370" max="15371" width="9.140625" style="2"/>
    <col min="15372" max="15372" width="5.140625" style="2" customWidth="1"/>
    <col min="15373" max="15616" width="9.140625" style="2"/>
    <col min="15617" max="15617" width="5.42578125" style="2" customWidth="1"/>
    <col min="15618" max="15618" width="10.42578125" style="2" customWidth="1"/>
    <col min="15619" max="15620" width="9.140625" style="2"/>
    <col min="15621" max="15622" width="12.140625" style="2" customWidth="1"/>
    <col min="15623" max="15623" width="9.5703125" style="2" customWidth="1"/>
    <col min="15624" max="15624" width="11.85546875" style="2" customWidth="1"/>
    <col min="15625" max="15625" width="4.140625" style="2" customWidth="1"/>
    <col min="15626" max="15627" width="9.140625" style="2"/>
    <col min="15628" max="15628" width="5.140625" style="2" customWidth="1"/>
    <col min="15629" max="15872" width="9.140625" style="2"/>
    <col min="15873" max="15873" width="5.42578125" style="2" customWidth="1"/>
    <col min="15874" max="15874" width="10.42578125" style="2" customWidth="1"/>
    <col min="15875" max="15876" width="9.140625" style="2"/>
    <col min="15877" max="15878" width="12.140625" style="2" customWidth="1"/>
    <col min="15879" max="15879" width="9.5703125" style="2" customWidth="1"/>
    <col min="15880" max="15880" width="11.85546875" style="2" customWidth="1"/>
    <col min="15881" max="15881" width="4.140625" style="2" customWidth="1"/>
    <col min="15882" max="15883" width="9.140625" style="2"/>
    <col min="15884" max="15884" width="5.140625" style="2" customWidth="1"/>
    <col min="15885" max="16128" width="9.140625" style="2"/>
    <col min="16129" max="16129" width="5.42578125" style="2" customWidth="1"/>
    <col min="16130" max="16130" width="10.42578125" style="2" customWidth="1"/>
    <col min="16131" max="16132" width="9.140625" style="2"/>
    <col min="16133" max="16134" width="12.140625" style="2" customWidth="1"/>
    <col min="16135" max="16135" width="9.5703125" style="2" customWidth="1"/>
    <col min="16136" max="16136" width="11.85546875" style="2" customWidth="1"/>
    <col min="16137" max="16137" width="4.140625" style="2" customWidth="1"/>
    <col min="16138" max="16139" width="9.140625" style="2"/>
    <col min="16140" max="16140" width="5.140625" style="2" customWidth="1"/>
    <col min="16141" max="16384" width="9.140625" style="2"/>
  </cols>
  <sheetData>
    <row r="1" spans="1:13" ht="69" customHeight="1" x14ac:dyDescent="0.2"/>
    <row r="2" spans="1:13" x14ac:dyDescent="0.2">
      <c r="A2" s="17"/>
    </row>
    <row r="5" spans="1:13" ht="38.25" x14ac:dyDescent="0.2">
      <c r="A5" s="18" t="s">
        <v>51</v>
      </c>
      <c r="B5" s="19" t="s">
        <v>52</v>
      </c>
      <c r="C5" s="19" t="s">
        <v>53</v>
      </c>
      <c r="D5" s="19" t="s">
        <v>54</v>
      </c>
      <c r="E5" s="19" t="s">
        <v>55</v>
      </c>
      <c r="F5" s="19" t="s">
        <v>56</v>
      </c>
      <c r="G5" s="19" t="s">
        <v>57</v>
      </c>
      <c r="H5" s="18" t="s">
        <v>58</v>
      </c>
    </row>
    <row r="6" spans="1:13" x14ac:dyDescent="0.2">
      <c r="A6" s="6">
        <v>1</v>
      </c>
      <c r="B6" s="6" t="s">
        <v>59</v>
      </c>
      <c r="C6" s="6" t="s">
        <v>60</v>
      </c>
      <c r="D6" s="6" t="s">
        <v>61</v>
      </c>
      <c r="E6" s="20">
        <v>19542</v>
      </c>
      <c r="F6" s="20">
        <f ca="1">TODAY()</f>
        <v>46274</v>
      </c>
      <c r="G6" s="34">
        <f ca="1">DATEDIF(E6,F6,"Y")</f>
        <v>73</v>
      </c>
      <c r="H6" s="34" t="str">
        <f ca="1">IF(OR(AND(D6="K",G6&gt;=$M$6),AND(D6="M",G6&gt;=$M$7)),"EMERYTURKA",IF(D6="K",$M$6-G6,$M$7-G6))</f>
        <v>EMERYTURKA</v>
      </c>
      <c r="J6" s="28" t="s">
        <v>62</v>
      </c>
      <c r="K6" s="29"/>
      <c r="L6" s="30"/>
      <c r="M6" s="21">
        <v>60</v>
      </c>
    </row>
    <row r="7" spans="1:13" x14ac:dyDescent="0.2">
      <c r="A7" s="6">
        <v>2</v>
      </c>
      <c r="B7" s="6" t="s">
        <v>63</v>
      </c>
      <c r="C7" s="6" t="s">
        <v>64</v>
      </c>
      <c r="D7" s="6" t="s">
        <v>61</v>
      </c>
      <c r="E7" s="20">
        <v>25543</v>
      </c>
      <c r="F7" s="20">
        <f t="shared" ref="F7:F14" ca="1" si="0">TODAY()</f>
        <v>46274</v>
      </c>
      <c r="G7" s="34">
        <f t="shared" ref="G7:G14" ca="1" si="1">DATEDIF(E7,F7,"Y")</f>
        <v>56</v>
      </c>
      <c r="H7" s="34">
        <f t="shared" ref="H7:H14" ca="1" si="2">IF(OR(AND(D7="K",G7&gt;=$M$6),AND(D7="M",G7&gt;=$M$7)),"EMERYTURKA",IF(D7="K",$M$6-G7,$M$7-G7))</f>
        <v>4</v>
      </c>
      <c r="J7" s="31" t="s">
        <v>65</v>
      </c>
      <c r="K7" s="32"/>
      <c r="L7" s="33"/>
      <c r="M7" s="21">
        <v>65</v>
      </c>
    </row>
    <row r="8" spans="1:13" x14ac:dyDescent="0.2">
      <c r="A8" s="6">
        <v>3</v>
      </c>
      <c r="B8" s="6" t="s">
        <v>66</v>
      </c>
      <c r="C8" s="6" t="s">
        <v>67</v>
      </c>
      <c r="D8" s="6" t="s">
        <v>68</v>
      </c>
      <c r="E8" s="20">
        <v>26735</v>
      </c>
      <c r="F8" s="20">
        <f t="shared" ca="1" si="0"/>
        <v>46274</v>
      </c>
      <c r="G8" s="34">
        <f t="shared" ca="1" si="1"/>
        <v>53</v>
      </c>
      <c r="H8" s="34">
        <f t="shared" ca="1" si="2"/>
        <v>12</v>
      </c>
    </row>
    <row r="9" spans="1:13" x14ac:dyDescent="0.2">
      <c r="A9" s="6">
        <v>4</v>
      </c>
      <c r="B9" s="6" t="s">
        <v>69</v>
      </c>
      <c r="C9" s="6" t="s">
        <v>70</v>
      </c>
      <c r="D9" s="6" t="s">
        <v>68</v>
      </c>
      <c r="E9" s="20">
        <v>17674</v>
      </c>
      <c r="F9" s="20">
        <f t="shared" ca="1" si="0"/>
        <v>46274</v>
      </c>
      <c r="G9" s="34">
        <f t="shared" ca="1" si="1"/>
        <v>78</v>
      </c>
      <c r="H9" s="34" t="str">
        <f t="shared" ca="1" si="2"/>
        <v>EMERYTURKA</v>
      </c>
    </row>
    <row r="10" spans="1:13" x14ac:dyDescent="0.2">
      <c r="A10" s="6">
        <v>5</v>
      </c>
      <c r="B10" s="6" t="s">
        <v>71</v>
      </c>
      <c r="C10" s="6" t="s">
        <v>72</v>
      </c>
      <c r="D10" s="6" t="s">
        <v>68</v>
      </c>
      <c r="E10" s="20">
        <v>25936</v>
      </c>
      <c r="F10" s="20">
        <f t="shared" ca="1" si="0"/>
        <v>46274</v>
      </c>
      <c r="G10" s="34">
        <f t="shared" ca="1" si="1"/>
        <v>55</v>
      </c>
      <c r="H10" s="34">
        <f t="shared" ca="1" si="2"/>
        <v>10</v>
      </c>
    </row>
    <row r="11" spans="1:13" x14ac:dyDescent="0.2">
      <c r="A11" s="6">
        <v>6</v>
      </c>
      <c r="B11" s="6" t="s">
        <v>73</v>
      </c>
      <c r="C11" s="6" t="s">
        <v>74</v>
      </c>
      <c r="D11" s="6" t="s">
        <v>61</v>
      </c>
      <c r="E11" s="20">
        <v>22551</v>
      </c>
      <c r="F11" s="20">
        <f t="shared" ca="1" si="0"/>
        <v>46274</v>
      </c>
      <c r="G11" s="34">
        <f t="shared" ca="1" si="1"/>
        <v>64</v>
      </c>
      <c r="H11" s="34" t="str">
        <f t="shared" ca="1" si="2"/>
        <v>EMERYTURKA</v>
      </c>
    </row>
    <row r="12" spans="1:13" x14ac:dyDescent="0.2">
      <c r="A12" s="6">
        <v>7</v>
      </c>
      <c r="B12" s="6" t="s">
        <v>75</v>
      </c>
      <c r="C12" s="6" t="s">
        <v>76</v>
      </c>
      <c r="D12" s="6" t="s">
        <v>61</v>
      </c>
      <c r="E12" s="20">
        <v>20514</v>
      </c>
      <c r="F12" s="20">
        <f t="shared" ca="1" si="0"/>
        <v>46274</v>
      </c>
      <c r="G12" s="34">
        <f t="shared" ca="1" si="1"/>
        <v>70</v>
      </c>
      <c r="H12" s="34" t="str">
        <f t="shared" ca="1" si="2"/>
        <v>EMERYTURKA</v>
      </c>
    </row>
    <row r="13" spans="1:13" x14ac:dyDescent="0.2">
      <c r="A13" s="6">
        <v>8</v>
      </c>
      <c r="B13" s="6" t="s">
        <v>77</v>
      </c>
      <c r="C13" s="6" t="s">
        <v>78</v>
      </c>
      <c r="D13" s="6" t="s">
        <v>68</v>
      </c>
      <c r="E13" s="20">
        <v>17083</v>
      </c>
      <c r="F13" s="20">
        <f t="shared" ca="1" si="0"/>
        <v>46274</v>
      </c>
      <c r="G13" s="34">
        <f t="shared" ca="1" si="1"/>
        <v>79</v>
      </c>
      <c r="H13" s="34" t="str">
        <f t="shared" ca="1" si="2"/>
        <v>EMERYTURKA</v>
      </c>
    </row>
    <row r="14" spans="1:13" x14ac:dyDescent="0.2">
      <c r="A14" s="6">
        <v>9</v>
      </c>
      <c r="B14" s="6" t="s">
        <v>79</v>
      </c>
      <c r="C14" s="6" t="s">
        <v>60</v>
      </c>
      <c r="D14" s="6" t="s">
        <v>61</v>
      </c>
      <c r="E14" s="20">
        <v>21542</v>
      </c>
      <c r="F14" s="20">
        <f t="shared" ca="1" si="0"/>
        <v>46274</v>
      </c>
      <c r="G14" s="34">
        <f t="shared" ca="1" si="1"/>
        <v>67</v>
      </c>
      <c r="H14" s="34" t="str">
        <f t="shared" ca="1" si="2"/>
        <v>EMERYTURKA</v>
      </c>
    </row>
  </sheetData>
  <mergeCells count="2">
    <mergeCell ref="J6:L6"/>
    <mergeCell ref="J7:L7"/>
  </mergeCells>
  <pageMargins left="0.75" right="0.75" top="1" bottom="1" header="0.5" footer="0.5"/>
  <pageSetup paperSize="9" orientation="portrait" horizontalDpi="300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8229-C22A-4CE1-84FA-AE78806692FC}">
  <dimension ref="B4:E6"/>
  <sheetViews>
    <sheetView workbookViewId="0">
      <selection activeCell="E6" sqref="E6"/>
    </sheetView>
  </sheetViews>
  <sheetFormatPr defaultRowHeight="15" x14ac:dyDescent="0.25"/>
  <cols>
    <col min="2" max="2" width="6" bestFit="1" customWidth="1"/>
    <col min="3" max="3" width="13.85546875" bestFit="1" customWidth="1"/>
    <col min="4" max="4" width="14.42578125" bestFit="1" customWidth="1"/>
    <col min="5" max="5" width="6.28515625" bestFit="1" customWidth="1"/>
  </cols>
  <sheetData>
    <row r="4" spans="2:5" ht="74.25" customHeight="1" x14ac:dyDescent="0.25"/>
    <row r="5" spans="2:5" x14ac:dyDescent="0.25">
      <c r="B5" s="22" t="s">
        <v>80</v>
      </c>
      <c r="C5" s="22" t="s">
        <v>81</v>
      </c>
      <c r="D5" s="22" t="s">
        <v>82</v>
      </c>
      <c r="E5" s="22" t="s">
        <v>83</v>
      </c>
    </row>
    <row r="6" spans="2:5" x14ac:dyDescent="0.25">
      <c r="B6" s="15">
        <v>126</v>
      </c>
      <c r="C6" s="15">
        <v>4</v>
      </c>
      <c r="D6" s="35">
        <f>QUOTIENT(B6,C6)</f>
        <v>31</v>
      </c>
      <c r="E6" s="35">
        <f>MOD(B6,C6)</f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56FC-A4B0-4F94-8E41-56AD5BFE7E4C}">
  <dimension ref="B7:F12"/>
  <sheetViews>
    <sheetView workbookViewId="0">
      <selection activeCell="E8" sqref="E8"/>
    </sheetView>
  </sheetViews>
  <sheetFormatPr defaultRowHeight="15" x14ac:dyDescent="0.25"/>
  <cols>
    <col min="2" max="2" width="7.5703125" bestFit="1" customWidth="1"/>
    <col min="3" max="3" width="6.140625" bestFit="1" customWidth="1"/>
    <col min="4" max="4" width="8.28515625" bestFit="1" customWidth="1"/>
    <col min="5" max="5" width="13.85546875" bestFit="1" customWidth="1"/>
    <col min="6" max="6" width="14" customWidth="1"/>
  </cols>
  <sheetData>
    <row r="7" spans="2:6" x14ac:dyDescent="0.25">
      <c r="B7" s="22" t="s">
        <v>93</v>
      </c>
      <c r="C7" s="22" t="s">
        <v>92</v>
      </c>
      <c r="D7" s="22" t="s">
        <v>91</v>
      </c>
      <c r="E7" s="22" t="s">
        <v>90</v>
      </c>
      <c r="F7" s="22" t="s">
        <v>89</v>
      </c>
    </row>
    <row r="8" spans="2:6" x14ac:dyDescent="0.25">
      <c r="B8" s="15" t="s">
        <v>88</v>
      </c>
      <c r="C8" s="15">
        <v>100</v>
      </c>
      <c r="D8" s="38">
        <f>ROUNDUP(C8/12,0)</f>
        <v>9</v>
      </c>
      <c r="E8" s="38">
        <f>IF(MOD(D8,12)&gt;=10,ROUNDUP(D8/12,0),ROUNDDOWN(D8/12,0))</f>
        <v>0</v>
      </c>
      <c r="F8" s="38">
        <f>ROUNDUP(MAX(0,D8-E8*12)/6,0)</f>
        <v>2</v>
      </c>
    </row>
    <row r="9" spans="2:6" x14ac:dyDescent="0.25">
      <c r="B9" s="15" t="s">
        <v>87</v>
      </c>
      <c r="C9" s="15">
        <v>1050</v>
      </c>
      <c r="D9" s="38">
        <f t="shared" ref="D9:D12" si="0">ROUNDUP(C9/12,0)</f>
        <v>88</v>
      </c>
      <c r="E9" s="38">
        <f t="shared" ref="E9:E12" si="1">IF(MOD(D9,12)&gt;=10,ROUNDUP(D9/12,0),ROUNDDOWN(D9/12,0))</f>
        <v>7</v>
      </c>
      <c r="F9" s="38">
        <f t="shared" ref="F9:F12" si="2">ROUNDUP(MAX(0,D9-E9*12)/6,0)</f>
        <v>1</v>
      </c>
    </row>
    <row r="10" spans="2:6" x14ac:dyDescent="0.25">
      <c r="B10" s="15" t="s">
        <v>86</v>
      </c>
      <c r="C10" s="15">
        <v>260</v>
      </c>
      <c r="D10" s="38">
        <f t="shared" si="0"/>
        <v>22</v>
      </c>
      <c r="E10" s="38">
        <f t="shared" si="1"/>
        <v>2</v>
      </c>
      <c r="F10" s="38">
        <f t="shared" si="2"/>
        <v>0</v>
      </c>
    </row>
    <row r="11" spans="2:6" x14ac:dyDescent="0.25">
      <c r="B11" s="15" t="s">
        <v>85</v>
      </c>
      <c r="C11" s="15">
        <v>12</v>
      </c>
      <c r="D11" s="38">
        <f t="shared" si="0"/>
        <v>1</v>
      </c>
      <c r="E11" s="38">
        <f t="shared" si="1"/>
        <v>0</v>
      </c>
      <c r="F11" s="38">
        <f t="shared" si="2"/>
        <v>1</v>
      </c>
    </row>
    <row r="12" spans="2:6" x14ac:dyDescent="0.25">
      <c r="B12" s="15" t="s">
        <v>84</v>
      </c>
      <c r="C12" s="15">
        <v>3</v>
      </c>
      <c r="D12" s="38">
        <f t="shared" si="0"/>
        <v>1</v>
      </c>
      <c r="E12" s="38">
        <f t="shared" si="1"/>
        <v>0</v>
      </c>
      <c r="F12" s="38">
        <f t="shared" si="2"/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56BE-FDB9-43C3-9109-AA8EF6816978}">
  <dimension ref="B4:E6"/>
  <sheetViews>
    <sheetView workbookViewId="0">
      <selection activeCell="E7" sqref="E7"/>
    </sheetView>
  </sheetViews>
  <sheetFormatPr defaultRowHeight="15" x14ac:dyDescent="0.25"/>
  <cols>
    <col min="3" max="3" width="16.42578125" customWidth="1"/>
    <col min="4" max="4" width="17.140625" customWidth="1"/>
  </cols>
  <sheetData>
    <row r="4" spans="2:5" ht="74.25" customHeight="1" x14ac:dyDescent="0.25"/>
    <row r="5" spans="2:5" x14ac:dyDescent="0.25">
      <c r="B5" s="22" t="s">
        <v>80</v>
      </c>
      <c r="C5" s="22" t="s">
        <v>81</v>
      </c>
      <c r="D5" s="22" t="s">
        <v>82</v>
      </c>
      <c r="E5" s="22" t="s">
        <v>83</v>
      </c>
    </row>
    <row r="6" spans="2:5" x14ac:dyDescent="0.25">
      <c r="B6" s="15">
        <v>126</v>
      </c>
      <c r="C6" s="15">
        <v>4</v>
      </c>
      <c r="D6" s="15">
        <f>QUOTIENT(B6,C6)</f>
        <v>31</v>
      </c>
      <c r="E6" s="15">
        <f>MOD(B6,C6)</f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1D51-4117-410B-BD33-18EA85656143}">
  <dimension ref="B7:F12"/>
  <sheetViews>
    <sheetView workbookViewId="0">
      <selection activeCell="F10" sqref="F10"/>
    </sheetView>
  </sheetViews>
  <sheetFormatPr defaultRowHeight="15" x14ac:dyDescent="0.25"/>
  <cols>
    <col min="2" max="2" width="7.5703125" bestFit="1" customWidth="1"/>
    <col min="3" max="3" width="6.140625" bestFit="1" customWidth="1"/>
    <col min="4" max="4" width="8.28515625" bestFit="1" customWidth="1"/>
    <col min="5" max="5" width="13.85546875" bestFit="1" customWidth="1"/>
    <col min="6" max="6" width="14" customWidth="1"/>
  </cols>
  <sheetData>
    <row r="7" spans="2:6" x14ac:dyDescent="0.25">
      <c r="B7" s="22" t="s">
        <v>93</v>
      </c>
      <c r="C7" s="22" t="s">
        <v>92</v>
      </c>
      <c r="D7" s="22" t="s">
        <v>91</v>
      </c>
      <c r="E7" s="22" t="s">
        <v>90</v>
      </c>
      <c r="F7" s="22" t="s">
        <v>89</v>
      </c>
    </row>
    <row r="8" spans="2:6" x14ac:dyDescent="0.25">
      <c r="B8" s="15" t="s">
        <v>88</v>
      </c>
      <c r="C8" s="15">
        <v>100</v>
      </c>
      <c r="D8" s="38">
        <f>ROUNDUP(C8/12,0)</f>
        <v>9</v>
      </c>
      <c r="E8" s="38">
        <f>IF(MOD(D8,12)&gt;=10,ROUNDUP(D8/12,0),ROUNDDOWN(D8/12,0))</f>
        <v>0</v>
      </c>
      <c r="F8" s="38">
        <f>IF(MOD(D8,12)&gt;=10,0,ROUNDUP(MOD(D8,12)/6,0))</f>
        <v>2</v>
      </c>
    </row>
    <row r="9" spans="2:6" x14ac:dyDescent="0.25">
      <c r="B9" s="15" t="s">
        <v>87</v>
      </c>
      <c r="C9" s="15">
        <v>1050</v>
      </c>
      <c r="D9" s="38">
        <f t="shared" ref="D9:D12" si="0">ROUNDUP(C9/12,0)</f>
        <v>88</v>
      </c>
      <c r="E9" s="38">
        <f t="shared" ref="E9:E12" si="1">IF(MOD(D9,12)&gt;=10,ROUNDUP(D9/12,0),ROUNDDOWN(D9/12,0))</f>
        <v>7</v>
      </c>
      <c r="F9" s="38">
        <f t="shared" ref="F9:F12" si="2">IF(MOD(D9,12)&gt;=10,0,ROUNDUP(MOD(D9,12)/6,0))</f>
        <v>1</v>
      </c>
    </row>
    <row r="10" spans="2:6" x14ac:dyDescent="0.25">
      <c r="B10" s="15" t="s">
        <v>86</v>
      </c>
      <c r="C10" s="15">
        <v>250</v>
      </c>
      <c r="D10" s="38">
        <f t="shared" si="0"/>
        <v>21</v>
      </c>
      <c r="E10" s="38">
        <f t="shared" si="1"/>
        <v>1</v>
      </c>
      <c r="F10" s="38">
        <f t="shared" si="2"/>
        <v>2</v>
      </c>
    </row>
    <row r="11" spans="2:6" x14ac:dyDescent="0.25">
      <c r="B11" s="15" t="s">
        <v>85</v>
      </c>
      <c r="C11" s="15">
        <v>12</v>
      </c>
      <c r="D11" s="38">
        <f t="shared" si="0"/>
        <v>1</v>
      </c>
      <c r="E11" s="38">
        <f t="shared" si="1"/>
        <v>0</v>
      </c>
      <c r="F11" s="38">
        <f t="shared" si="2"/>
        <v>1</v>
      </c>
    </row>
    <row r="12" spans="2:6" x14ac:dyDescent="0.25">
      <c r="B12" s="15" t="s">
        <v>84</v>
      </c>
      <c r="C12" s="15">
        <v>3</v>
      </c>
      <c r="D12" s="38">
        <f t="shared" si="0"/>
        <v>1</v>
      </c>
      <c r="E12" s="38">
        <f t="shared" si="1"/>
        <v>0</v>
      </c>
      <c r="F12" s="38">
        <f t="shared" si="2"/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F543-9032-409C-AEA9-6A85875031D4}">
  <dimension ref="A1:E8"/>
  <sheetViews>
    <sheetView zoomScaleNormal="100" workbookViewId="0">
      <selection activeCell="E4" sqref="E4"/>
    </sheetView>
  </sheetViews>
  <sheetFormatPr defaultRowHeight="15" x14ac:dyDescent="0.25"/>
  <cols>
    <col min="1" max="1" width="9.5703125" bestFit="1" customWidth="1"/>
    <col min="2" max="2" width="4.7109375" bestFit="1" customWidth="1"/>
    <col min="3" max="3" width="5.5703125" bestFit="1" customWidth="1"/>
    <col min="4" max="4" width="5.28515625" bestFit="1" customWidth="1"/>
    <col min="5" max="5" width="14" bestFit="1" customWidth="1"/>
  </cols>
  <sheetData>
    <row r="1" spans="1:5" ht="17.25" customHeight="1" x14ac:dyDescent="0.25"/>
    <row r="2" spans="1:5" ht="213" customHeight="1" x14ac:dyDescent="0.25"/>
    <row r="3" spans="1:5" x14ac:dyDescent="0.25">
      <c r="A3" s="22" t="s">
        <v>43</v>
      </c>
      <c r="B3" s="22" t="s">
        <v>94</v>
      </c>
      <c r="C3" s="22" t="s">
        <v>95</v>
      </c>
      <c r="D3" s="22" t="s">
        <v>96</v>
      </c>
      <c r="E3" s="22" t="s">
        <v>97</v>
      </c>
    </row>
    <row r="4" spans="1:5" x14ac:dyDescent="0.25">
      <c r="A4" s="15" t="s">
        <v>98</v>
      </c>
      <c r="B4" s="15" t="s">
        <v>68</v>
      </c>
      <c r="C4" s="15">
        <v>48</v>
      </c>
      <c r="D4" s="15">
        <v>16</v>
      </c>
      <c r="E4" s="36" t="str">
        <f>IF(OR(D4&lt;18,C4&lt;25),"NIE PODAWAĆ",IF(B4="M",QUOTIENT(C4,25),QUOTIENT(C4,25)*0.5))</f>
        <v>NIE PODAWAĆ</v>
      </c>
    </row>
    <row r="5" spans="1:5" x14ac:dyDescent="0.25">
      <c r="A5" s="15" t="s">
        <v>99</v>
      </c>
      <c r="B5" s="15" t="s">
        <v>61</v>
      </c>
      <c r="C5" s="15">
        <v>56</v>
      </c>
      <c r="D5" s="15">
        <v>45</v>
      </c>
      <c r="E5" s="36">
        <f t="shared" ref="E5:E8" si="0">IF(OR(D5&lt;18,C5&lt;25),"NIE PODAWAĆ",IF(B5="M",QUOTIENT(C5,25),QUOTIENT(C5,25)*0.5))</f>
        <v>1</v>
      </c>
    </row>
    <row r="6" spans="1:5" x14ac:dyDescent="0.25">
      <c r="A6" s="15" t="s">
        <v>100</v>
      </c>
      <c r="B6" s="15" t="s">
        <v>68</v>
      </c>
      <c r="C6" s="15">
        <v>67</v>
      </c>
      <c r="D6" s="15">
        <v>27</v>
      </c>
      <c r="E6" s="36">
        <f t="shared" si="0"/>
        <v>2</v>
      </c>
    </row>
    <row r="7" spans="1:5" x14ac:dyDescent="0.25">
      <c r="A7" s="15" t="s">
        <v>101</v>
      </c>
      <c r="B7" s="15" t="s">
        <v>61</v>
      </c>
      <c r="C7" s="15">
        <v>48</v>
      </c>
      <c r="D7" s="15">
        <v>34</v>
      </c>
      <c r="E7" s="36">
        <f t="shared" si="0"/>
        <v>0.5</v>
      </c>
    </row>
    <row r="8" spans="1:5" x14ac:dyDescent="0.25">
      <c r="A8" s="15" t="s">
        <v>102</v>
      </c>
      <c r="B8" s="15" t="s">
        <v>68</v>
      </c>
      <c r="C8" s="15">
        <v>90</v>
      </c>
      <c r="D8" s="15">
        <v>34</v>
      </c>
      <c r="E8" s="36">
        <f t="shared" si="0"/>
        <v>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94EF-62B8-470F-8FD5-9A25C89A65A3}">
  <dimension ref="A2:G8"/>
  <sheetViews>
    <sheetView tabSelected="1" workbookViewId="0">
      <selection activeCell="J2" sqref="J2"/>
    </sheetView>
  </sheetViews>
  <sheetFormatPr defaultRowHeight="15" x14ac:dyDescent="0.25"/>
  <cols>
    <col min="1" max="1" width="9.5703125" bestFit="1" customWidth="1"/>
    <col min="2" max="2" width="4.7109375" bestFit="1" customWidth="1"/>
    <col min="3" max="3" width="5.28515625" bestFit="1" customWidth="1"/>
    <col min="4" max="4" width="12" bestFit="1" customWidth="1"/>
    <col min="5" max="5" width="11.5703125" bestFit="1" customWidth="1"/>
    <col min="6" max="6" width="13.5703125" bestFit="1" customWidth="1"/>
    <col min="7" max="7" width="17.28515625" customWidth="1"/>
  </cols>
  <sheetData>
    <row r="2" spans="1:7" ht="213" customHeight="1" x14ac:dyDescent="0.25"/>
    <row r="3" spans="1:7" x14ac:dyDescent="0.25">
      <c r="A3" s="22" t="s">
        <v>43</v>
      </c>
      <c r="B3" s="22" t="s">
        <v>94</v>
      </c>
      <c r="C3" s="22" t="s">
        <v>96</v>
      </c>
      <c r="D3" s="22" t="s">
        <v>103</v>
      </c>
      <c r="E3" s="22" t="s">
        <v>104</v>
      </c>
      <c r="F3" s="22" t="s">
        <v>105</v>
      </c>
      <c r="G3" s="22" t="s">
        <v>106</v>
      </c>
    </row>
    <row r="4" spans="1:7" x14ac:dyDescent="0.25">
      <c r="A4" s="15" t="s">
        <v>98</v>
      </c>
      <c r="B4" s="15" t="s">
        <v>68</v>
      </c>
      <c r="C4" s="15">
        <v>16</v>
      </c>
      <c r="D4" s="15" t="s">
        <v>107</v>
      </c>
      <c r="E4" s="15">
        <v>0</v>
      </c>
      <c r="F4" s="15" t="s">
        <v>108</v>
      </c>
      <c r="G4" s="37" t="str">
        <f>IF(AND(OR(F4="średnie",F4="wyższe"),E4&gt;=1,OR(AND(B4="K",C4&gt;30),AND(B4="M",C4&gt;45))),"TAK","NIE")</f>
        <v>NIE</v>
      </c>
    </row>
    <row r="5" spans="1:7" x14ac:dyDescent="0.25">
      <c r="A5" s="15" t="s">
        <v>99</v>
      </c>
      <c r="B5" s="15" t="s">
        <v>61</v>
      </c>
      <c r="C5" s="15">
        <v>45</v>
      </c>
      <c r="D5" s="15" t="s">
        <v>109</v>
      </c>
      <c r="E5" s="15">
        <v>2</v>
      </c>
      <c r="F5" s="15" t="s">
        <v>110</v>
      </c>
      <c r="G5" s="37" t="str">
        <f t="shared" ref="G5:G8" si="0">IF(AND(OR(F5="średnie",F5="wyższe"),E5&gt;=1,OR(AND(B5="K",C5&gt;30),AND(B5="M",C5&gt;45))),"TAK","NIE")</f>
        <v>TAK</v>
      </c>
    </row>
    <row r="6" spans="1:7" x14ac:dyDescent="0.25">
      <c r="A6" s="15" t="s">
        <v>100</v>
      </c>
      <c r="B6" s="15" t="s">
        <v>68</v>
      </c>
      <c r="C6" s="15">
        <v>27</v>
      </c>
      <c r="D6" s="15" t="s">
        <v>109</v>
      </c>
      <c r="E6" s="15">
        <v>1</v>
      </c>
      <c r="F6" s="15" t="s">
        <v>111</v>
      </c>
      <c r="G6" s="37" t="str">
        <f t="shared" si="0"/>
        <v>NIE</v>
      </c>
    </row>
    <row r="7" spans="1:7" x14ac:dyDescent="0.25">
      <c r="A7" s="15" t="s">
        <v>101</v>
      </c>
      <c r="B7" s="15" t="s">
        <v>61</v>
      </c>
      <c r="C7" s="15">
        <v>34</v>
      </c>
      <c r="D7" s="15" t="s">
        <v>107</v>
      </c>
      <c r="E7" s="15">
        <v>2</v>
      </c>
      <c r="F7" s="15" t="s">
        <v>111</v>
      </c>
      <c r="G7" s="37" t="str">
        <f t="shared" si="0"/>
        <v>NIE</v>
      </c>
    </row>
    <row r="8" spans="1:7" x14ac:dyDescent="0.25">
      <c r="A8" s="15" t="s">
        <v>102</v>
      </c>
      <c r="B8" s="15" t="s">
        <v>68</v>
      </c>
      <c r="C8" s="15">
        <v>34</v>
      </c>
      <c r="D8" s="15" t="s">
        <v>107</v>
      </c>
      <c r="E8" s="15">
        <v>0</v>
      </c>
      <c r="F8" s="15" t="s">
        <v>108</v>
      </c>
      <c r="G8" s="37" t="str">
        <f t="shared" si="0"/>
        <v>NIE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jezeli1</vt:lpstr>
      <vt:lpstr>jeżeli2</vt:lpstr>
      <vt:lpstr>drugie imię</vt:lpstr>
      <vt:lpstr>jezeli lub oraz</vt:lpstr>
      <vt:lpstr>część całkowita</vt:lpstr>
      <vt:lpstr>jeżeli 3</vt:lpstr>
      <vt:lpstr>część całkowita (mod)</vt:lpstr>
      <vt:lpstr>jeżeli 3 (mod)</vt:lpstr>
      <vt:lpstr>jeżeli 4</vt:lpstr>
      <vt:lpstr>jeżeli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Piotrek</dc:creator>
  <cp:lastModifiedBy>Mariusz Staręga</cp:lastModifiedBy>
  <dcterms:created xsi:type="dcterms:W3CDTF">2022-05-31T15:38:47Z</dcterms:created>
  <dcterms:modified xsi:type="dcterms:W3CDTF">2026-09-09T08:47:01Z</dcterms:modified>
</cp:coreProperties>
</file>